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tables/table4.xml" ContentType="application/vnd.openxmlformats-officedocument.spreadsheetml.table+xml"/>
  <Override PartName="/xl/worksheets/sheet9.xml" ContentType="application/vnd.openxmlformats-officedocument.spreadsheetml.worksheet+xml"/>
  <Override PartName="/xl/tables/table5.xml" ContentType="application/vnd.openxmlformats-officedocument.spreadsheetml.table+xml"/>
  <Override PartName="/xl/worksheets/sheet10.xml" ContentType="application/vnd.openxmlformats-officedocument.spreadsheetml.worksheet+xml"/>
  <Override PartName="/xl/tables/table6.xml" ContentType="application/vnd.openxmlformats-officedocument.spreadsheetml.table+xml"/>
  <Override PartName="/xl/worksheets/sheet11.xml" ContentType="application/vnd.openxmlformats-officedocument.spreadsheetml.worksheet+xml"/>
  <Override PartName="/xl/tables/table7.xml" ContentType="application/vnd.openxmlformats-officedocument.spreadsheetml.table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 Dashboard" sheetId="1" state="visible" r:id="rId1"/>
    <sheet xmlns:r="http://schemas.openxmlformats.org/officeDocument/2006/relationships" name="Employee Database" sheetId="2" state="visible" r:id="rId2"/>
    <sheet xmlns:r="http://schemas.openxmlformats.org/officeDocument/2006/relationships" name="Monthly Payroll" sheetId="3" state="visible" r:id="rId3"/>
    <sheet xmlns:r="http://schemas.openxmlformats.org/officeDocument/2006/relationships" name="Payroll Calculator" sheetId="4" state="visible" r:id="rId4"/>
    <sheet xmlns:r="http://schemas.openxmlformats.org/officeDocument/2006/relationships" name="Payslip" sheetId="5" state="visible" r:id="rId5"/>
    <sheet xmlns:r="http://schemas.openxmlformats.org/officeDocument/2006/relationships" name="Instructions" sheetId="6" state="visible" r:id="rId6"/>
    <sheet xmlns:r="http://schemas.openxmlformats.org/officeDocument/2006/relationships" name="Timesheets" sheetId="7" state="visible" r:id="rId7"/>
    <sheet xmlns:r="http://schemas.openxmlformats.org/officeDocument/2006/relationships" name="Pension Tracker" sheetId="8" state="visible" r:id="rId8"/>
    <sheet xmlns:r="http://schemas.openxmlformats.org/officeDocument/2006/relationships" name="Leave Tracker" sheetId="9" state="visible" r:id="rId9"/>
    <sheet xmlns:r="http://schemas.openxmlformats.org/officeDocument/2006/relationships" name="Payment Tracker" sheetId="10" state="visible" r:id="rId10"/>
    <sheet xmlns:r="http://schemas.openxmlformats.org/officeDocument/2006/relationships" name="Audit Log" sheetId="11" state="visible" r:id="rId11"/>
    <sheet xmlns:r="http://schemas.openxmlformats.org/officeDocument/2006/relationships" name="Settings" sheetId="12" state="visible" r:id="rId12"/>
  </sheets>
  <definedNames>
    <definedName name="_xlnm._FilterDatabase" localSheetId="3" hidden="1">'Payroll Calculator'!$A$3:$D$27</definedName>
    <definedName name="_xlnm.Print_Area" localSheetId="3">'Payroll Calculator'!$A$1:$D$28</definedName>
    <definedName name="_xlnm.Print_Area" localSheetId="4">'Payslip'!$A$1:$D$23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5">
    <numFmt numFmtId="164" formatCode="£#,##0.00;[Red]-£#,##0.00"/>
    <numFmt numFmtId="165" formatCode="£#,##0.00"/>
    <numFmt numFmtId="166" formatCode="0.00&quot;%&quot;"/>
    <numFmt numFmtId="167" formatCode="dd-mmm-yyyy"/>
    <numFmt numFmtId="168" formatCode="mmm"/>
  </numFmts>
  <fonts count="16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i val="1"/>
      <color rgb="00666666"/>
    </font>
    <font>
      <b val="1"/>
      <color rgb="00FFFFFF"/>
    </font>
    <font>
      <color rgb="00666666"/>
      <sz val="9"/>
    </font>
    <font>
      <b val="1"/>
      <color rgb="0017365D"/>
    </font>
    <font>
      <b val="1"/>
      <color rgb="00FFFFFF"/>
      <sz val="12"/>
    </font>
    <font>
      <b val="1"/>
      <color rgb="0017365D"/>
      <sz val="14"/>
    </font>
    <font>
      <b val="1"/>
      <color rgb="0017365D"/>
      <sz val="18"/>
    </font>
    <font>
      <i val="1"/>
      <color rgb="00666666"/>
      <sz val="9"/>
    </font>
    <font>
      <b val="1"/>
    </font>
    <font>
      <color rgb="000000FF"/>
    </font>
    <font>
      <color rgb="00006100"/>
    </font>
    <font>
      <b val="1"/>
      <color rgb="00006100"/>
    </font>
    <font>
      <b val="1"/>
      <color rgb="00FFFFFF"/>
      <sz val="16"/>
    </font>
    <font>
      <b val="1"/>
      <color rgb="00FFFFFF"/>
      <sz val="18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B7C9D6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2" borderId="0" pivotButton="0" quotePrefix="0" xfId="0"/>
    <xf numFmtId="0" fontId="0" fillId="0" borderId="1" pivotButton="0" quotePrefix="0" xfId="0"/>
    <xf numFmtId="164" fontId="0" fillId="3" borderId="1" pivotButton="0" quotePrefix="0" xfId="0"/>
    <xf numFmtId="0" fontId="4" fillId="0" borderId="0" pivotButton="0" quotePrefix="0" xfId="0"/>
    <xf numFmtId="164" fontId="0" fillId="4" borderId="1" pivotButton="0" quotePrefix="0" xfId="0"/>
    <xf numFmtId="0" fontId="5" fillId="0" borderId="1" pivotButton="0" quotePrefix="0" xfId="0"/>
    <xf numFmtId="164" fontId="5" fillId="4" borderId="1" pivotButton="0" quotePrefix="0" xfId="0"/>
    <xf numFmtId="0" fontId="6" fillId="2" borderId="1" pivotButton="0" quotePrefix="0" xfId="0"/>
    <xf numFmtId="164" fontId="6" fillId="2" borderId="1" pivotButton="0" quotePrefix="0" xfId="0"/>
    <xf numFmtId="0" fontId="7" fillId="0" borderId="0" pivotButton="0" quotePrefix="0" xfId="0"/>
    <xf numFmtId="0" fontId="5" fillId="0" borderId="0" pivotButton="0" quotePrefix="0" xfId="0"/>
    <xf numFmtId="164" fontId="0" fillId="0" borderId="1" pivotButton="0" quotePrefix="0" xfId="0"/>
    <xf numFmtId="0" fontId="5" fillId="4" borderId="1" pivotButton="0" quotePrefix="0" xfId="0"/>
    <xf numFmtId="0" fontId="6" fillId="2" borderId="0" pivotButton="0" quotePrefix="0" xfId="0"/>
    <xf numFmtId="165" fontId="8" fillId="0" borderId="0" applyAlignment="1" pivotButton="0" quotePrefix="0" xfId="0">
      <alignment horizontal="center"/>
    </xf>
    <xf numFmtId="165" fontId="0" fillId="0" borderId="0" pivotButton="0" quotePrefix="0" xfId="0"/>
    <xf numFmtId="0" fontId="9" fillId="0" borderId="0" applyAlignment="1" pivotButton="0" quotePrefix="0" xfId="0">
      <alignment wrapText="1"/>
    </xf>
    <xf numFmtId="0" fontId="5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164" fontId="5" fillId="3" borderId="1" pivotButton="0" quotePrefix="0" xfId="0"/>
    <xf numFmtId="164" fontId="11" fillId="5" borderId="1" pivotButton="0" quotePrefix="0" xfId="0"/>
    <xf numFmtId="164" fontId="12" fillId="4" borderId="1" pivotButton="0" quotePrefix="0" xfId="0"/>
    <xf numFmtId="164" fontId="13" fillId="4" borderId="1" pivotButton="0" quotePrefix="0" xfId="0"/>
    <xf numFmtId="166" fontId="11" fillId="5" borderId="1" pivotButton="0" quotePrefix="0" xfId="0"/>
    <xf numFmtId="0" fontId="13" fillId="4" borderId="0" applyAlignment="1" pivotButton="0" quotePrefix="0" xfId="0">
      <alignment vertical="center" wrapText="1"/>
    </xf>
    <xf numFmtId="0" fontId="10" fillId="0" borderId="0" pivotButton="0" quotePrefix="0" xfId="0"/>
    <xf numFmtId="166" fontId="0" fillId="0" borderId="0" pivotButton="0" quotePrefix="0" xfId="0"/>
    <xf numFmtId="0" fontId="15" fillId="2" borderId="0" pivotButton="0" quotePrefix="0" xfId="0"/>
    <xf numFmtId="0" fontId="0" fillId="6" borderId="0" pivotButton="0" quotePrefix="0" xfId="0"/>
    <xf numFmtId="164" fontId="0" fillId="4" borderId="0" pivotButton="0" quotePrefix="0" xfId="0"/>
    <xf numFmtId="0" fontId="3" fillId="2" borderId="0" applyAlignment="1" pivotButton="0" quotePrefix="0" xfId="0">
      <alignment vertical="center" wrapText="1"/>
    </xf>
    <xf numFmtId="168" fontId="0" fillId="0" borderId="0" pivotButton="0" quotePrefix="0" xfId="0"/>
    <xf numFmtId="164" fontId="0" fillId="0" borderId="0" pivotButton="0" quotePrefix="0" xfId="0"/>
    <xf numFmtId="0" fontId="0" fillId="4" borderId="0" pivotButton="0" quotePrefix="0" xfId="0"/>
    <xf numFmtId="0" fontId="14" fillId="2" borderId="0" pivotButton="0" quotePrefix="0" xfId="0"/>
    <xf numFmtId="0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164" fontId="0" fillId="4" borderId="0" applyAlignment="1" pivotButton="0" quotePrefix="0" xfId="0">
      <alignment vertical="top"/>
    </xf>
    <xf numFmtId="164" fontId="0" fillId="5" borderId="0" applyAlignment="1" pivotButton="0" quotePrefix="0" xfId="0">
      <alignment vertical="top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0" fillId="5" borderId="0" pivotButton="0" quotePrefix="0" xfId="0"/>
    <xf numFmtId="167" fontId="0" fillId="5" borderId="0" pivotButton="0" quotePrefix="0" xfId="0"/>
    <xf numFmtId="164" fontId="0" fillId="5" borderId="0" pivotButton="0" quotePrefix="0" xfId="0"/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Gross Pay by Month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'Payroll Dashboard'!E5</f>
            </strRef>
          </tx>
          <spPr>
            <a:ln xmlns:a="http://schemas.openxmlformats.org/drawingml/2006/main">
              <a:prstDash val="solid"/>
            </a:ln>
          </spPr>
          <cat>
            <numRef>
              <f>'Payroll Dashboard'!$D$6:$D$17</f>
            </numRef>
          </cat>
          <val>
            <numRef>
              <f>'Payroll Dashboard'!$E$6:$E$17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GBP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AVERRA</author>
  </authors>
  <commentList>
    <comment ref="M2" authorId="0" shapeId="0">
      <text>
        <t>Enter PAYE verified using current compliant payroll software. This workbook does not calculate statutory PAYE.</t>
      </text>
    </comment>
    <comment ref="N2" authorId="0" shapeId="0">
      <text>
        <t>Enter employee NI verified using current compliant payroll software and applicable NI category.</t>
      </text>
    </comment>
    <comment ref="O2" authorId="0" shapeId="0">
      <text>
        <t>Calculated as gross pay × employee pension rate. Confirm qualifying earnings, scheme rules and tax-relief method.</t>
      </text>
    </comment>
    <comment ref="S2" authorId="0" shapeId="0">
      <text>
        <t>Enter employer NI verified using current compliant payroll software.</t>
      </text>
    </comment>
    <comment ref="T2" authorId="0" shapeId="0">
      <text>
        <t>Calculated as gross pay × employer pension rate. Confirm pensionable-pay rules.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B17" authorId="0" shapeId="0">
      <text>
        <t>Manual input: use a current HMRC-compatible payroll calculation. This workbook does not apply tax codes, cumulative tax, Scottish rates, or other PAYE rules.</t>
      </text>
    </comment>
    <comment ref="B18" authorId="0" shapeId="0">
      <text>
        <t>Manual input: verify NI category, thresholds, period, director treatment and current tax-year rules in payroll software.</t>
      </text>
    </comment>
    <comment ref="B19" authorId="0" shapeId="0">
      <text>
        <t>Calculated as total gross pay × employee pension rate. Confirm pensionable pay definition, qualifying earnings, scheme rules and tax relief method; this simple formula may not match the scheme.</t>
      </text>
    </comment>
    <comment ref="B23" authorId="0" shapeId="0">
      <text>
        <t>Manual input: employer NI rules, thresholds, reliefs and current rates must be verified.</t>
      </text>
    </comment>
  </commentList>
</comments>
</file>

<file path=xl/comments/comment3.xml><?xml version="1.0" encoding="utf-8"?>
<comments xmlns="http://schemas.openxmlformats.org/spreadsheetml/2006/main">
  <authors>
    <author>AVERRA</author>
  </authors>
  <commentList>
    <comment ref="J2" authorId="0" shapeId="0">
      <text>
        <t>Overtime multiplier defaults to 1.5× as an editable workbook assumption. Replace with the applicable contract/policy rate.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18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EmployeeRegister" displayName="EmployeeRegister" ref="A2:R202" headerRowCount="1">
  <autoFilter ref="A2:R202"/>
  <tableColumns count="18">
    <tableColumn id="1" name="Employee ID"/>
    <tableColumn id="2" name="Full Name"/>
    <tableColumn id="3" name="Job Title"/>
    <tableColumn id="4" name="Department"/>
    <tableColumn id="5" name="Work Country"/>
    <tableColumn id="6" name="Worker Type"/>
    <tableColumn id="7" name="Start Date"/>
    <tableColumn id="8" name="End Date"/>
    <tableColumn id="9" name="Pay Frequency"/>
    <tableColumn id="10" name="Annual Salary (GBP)"/>
    <tableColumn id="11" name="Hourly Rate (GBP)"/>
    <tableColumn id="12" name="Employee Pension %"/>
    <tableColumn id="13" name="Employer Pension %"/>
    <tableColumn id="14" name="Tax Code"/>
    <tableColumn id="15" name="NI Category"/>
    <tableColumn id="16" name="Email"/>
    <tableColumn id="17" name="Status"/>
    <tableColumn id="18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onthlyPayrollTable" displayName="MonthlyPayrollTable" ref="A2:X202" headerRowCount="1">
  <autoFilter ref="A2:X202"/>
  <tableColumns count="24">
    <tableColumn id="1" name="Payroll ID"/>
    <tableColumn id="2" name="Period Start"/>
    <tableColumn id="3" name="Period End"/>
    <tableColumn id="4" name="Pay Date"/>
    <tableColumn id="5" name="Employee ID"/>
    <tableColumn id="6" name="Employee Name"/>
    <tableColumn id="7" name="Worker Type"/>
    <tableColumn id="8" name="Pay Frequency"/>
    <tableColumn id="9" name="Basic Pay (GBP)"/>
    <tableColumn id="10" name="Overtime / Bonus (GBP)"/>
    <tableColumn id="11" name="Other Earnings (GBP)"/>
    <tableColumn id="12" name="Gross Pay (GBP)"/>
    <tableColumn id="13" name="PAYE (GBP)"/>
    <tableColumn id="14" name="Employee NI (GBP)"/>
    <tableColumn id="15" name="Employee Pension (GBP)"/>
    <tableColumn id="16" name="Other Deductions (GBP)"/>
    <tableColumn id="17" name="Total Deductions (GBP)"/>
    <tableColumn id="18" name="Net Pay (GBP)"/>
    <tableColumn id="19" name="Employer NI (GBP)"/>
    <tableColumn id="20" name="Employer Pension (GBP)"/>
    <tableColumn id="21" name="Total Employer Cost (GBP)"/>
    <tableColumn id="22" name="Review Status"/>
    <tableColumn id="23" name="Payment Status"/>
    <tableColumn id="24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imesheetTable" displayName="TimesheetTable" ref="A2:O202" headerRowCount="1">
  <autoFilter ref="A2:O202"/>
  <tableColumns count="15">
    <tableColumn id="1" name="Timesheet ID"/>
    <tableColumn id="2" name="Employee ID"/>
    <tableColumn id="3" name="Employee Name"/>
    <tableColumn id="4" name="Week / Period Start"/>
    <tableColumn id="5" name="Week / Period End"/>
    <tableColumn id="6" name="Regular Hours"/>
    <tableColumn id="7" name="Overtime Hours"/>
    <tableColumn id="8" name="Hourly Rate (GBP)"/>
    <tableColumn id="9" name="Regular Pay (GBP)"/>
    <tableColumn id="10" name="Overtime Pay (GBP)"/>
    <tableColumn id="11" name="Total Hours"/>
    <tableColumn id="12" name="Total Earnings (GBP)"/>
    <tableColumn id="13" name="Approval Status"/>
    <tableColumn id="14" name="Approved By"/>
    <tableColumn id="15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PensionTable" displayName="PensionTable" ref="A2:L202" headerRowCount="1">
  <autoFilter ref="A2:L202"/>
  <tableColumns count="12">
    <tableColumn id="1" name="Record ID"/>
    <tableColumn id="2" name="Payroll Period"/>
    <tableColumn id="3" name="Employee ID"/>
    <tableColumn id="4" name="Employee Name"/>
    <tableColumn id="5" name="Employee Contribution (GBP)"/>
    <tableColumn id="6" name="Employer Contribution (GBP)"/>
    <tableColumn id="7" name="Total Contribution (GBP)"/>
    <tableColumn id="8" name="Payment Date"/>
    <tableColumn id="9" name="Provider / Scheme"/>
    <tableColumn id="10" name="Remittance Status"/>
    <tableColumn id="11" name="Reference"/>
    <tableColumn id="12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LeaveTable" displayName="LeaveTable" ref="A2:K202" headerRowCount="1">
  <autoFilter ref="A2:K202"/>
  <tableColumns count="11">
    <tableColumn id="1" name="Request ID"/>
    <tableColumn id="2" name="Employee ID"/>
    <tableColumn id="3" name="Employee Name"/>
    <tableColumn id="4" name="Leave Type"/>
    <tableColumn id="5" name="Start Date"/>
    <tableColumn id="6" name="End Date"/>
    <tableColumn id="7" name="Working Days"/>
    <tableColumn id="8" name="Paid?"/>
    <tableColumn id="9" name="Approval Status"/>
    <tableColumn id="10" name="Approved By"/>
    <tableColumn id="11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PaymentTable" displayName="PaymentTable" ref="A2:L202" headerRowCount="1">
  <autoFilter ref="A2:L202"/>
  <tableColumns count="12">
    <tableColumn id="1" name="Payment ID"/>
    <tableColumn id="2" name="Payroll ID"/>
    <tableColumn id="3" name="Pay Date"/>
    <tableColumn id="4" name="Employee ID"/>
    <tableColumn id="5" name="Employee Name"/>
    <tableColumn id="6" name="Net Pay (GBP)"/>
    <tableColumn id="7" name="Payment Status"/>
    <tableColumn id="8" name="Paid Date"/>
    <tableColumn id="9" name="Bank / Method"/>
    <tableColumn id="10" name="Transaction Reference"/>
    <tableColumn id="11" name="Reconciled?"/>
    <tableColumn id="12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AuditLogTable" displayName="AuditLogTable" ref="A2:H202" headerRowCount="1">
  <autoFilter ref="A2:H202"/>
  <tableColumns count="8">
    <tableColumn id="1" name="Date / Time"/>
    <tableColumn id="2" name="User"/>
    <tableColumn id="3" name="Record Type"/>
    <tableColumn id="4" name="Record ID"/>
    <tableColumn id="5" name="Field Changed"/>
    <tableColumn id="6" name="Old Value"/>
    <tableColumn id="7" name="New Value"/>
    <tableColumn id="8" name="Reason / Approv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tabColor rgb="0017365D"/>
    <outlinePr summaryBelow="1" summaryRight="1"/>
    <pageSetUpPr fitToPage="1"/>
  </sheetPr>
  <dimension ref="A1:F17"/>
  <sheetViews>
    <sheetView showGridLines="0" zoomScale="9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1" customWidth="1" min="1" max="1"/>
    <col width="22" customWidth="1" min="2" max="2"/>
    <col width="4" customWidth="1" min="3" max="3"/>
    <col width="16" customWidth="1" min="4" max="4"/>
    <col width="22" customWidth="1" min="5" max="5"/>
    <col width="16" customWidth="1" min="6" max="6"/>
  </cols>
  <sheetData>
    <row r="1">
      <c r="A1" s="30" t="inlineStr">
        <is>
          <t>AVERRA — PAYROLL DASHBOARD</t>
        </is>
      </c>
    </row>
    <row r="2">
      <c r="A2" t="inlineStr">
        <is>
          <t>Enter a payroll year in B3. Totals are drawn from Monthly Payroll rows 3–202.</t>
        </is>
      </c>
    </row>
    <row r="3">
      <c r="A3" s="28" t="inlineStr">
        <is>
          <t>Payroll Year</t>
        </is>
      </c>
      <c r="B3" s="31" t="n">
        <v>2026</v>
      </c>
    </row>
    <row r="4">
      <c r="D4" s="13" t="inlineStr">
        <is>
          <t>Monthly gross pay</t>
        </is>
      </c>
    </row>
    <row r="5" ht="32" customHeight="1">
      <c r="A5" s="13" t="inlineStr">
        <is>
          <t>Gross Pay (GBP)</t>
        </is>
      </c>
      <c r="B5" s="32">
        <f>SUMIFS('Monthly Payroll'!$L$3:$L$202,'Monthly Payroll'!$B$3:$B$202,"&gt;="&amp;DATE($B$3,1,1),'Monthly Payroll'!$B$3:$B$202,"&lt;"&amp;DATE($B$3+1,1,1))</f>
        <v/>
      </c>
      <c r="D5" s="33" t="inlineStr">
        <is>
          <t>Month</t>
        </is>
      </c>
      <c r="E5" s="33" t="inlineStr">
        <is>
          <t>Gross Pay (GBP)</t>
        </is>
      </c>
    </row>
    <row r="6">
      <c r="A6" s="13" t="inlineStr">
        <is>
          <t>PAYE (GBP)</t>
        </is>
      </c>
      <c r="B6" s="32">
        <f>SUMIFS('Monthly Payroll'!$M$3:$M$202,'Monthly Payroll'!$B$3:$B$202,"&gt;="&amp;DATE($B$3,1,1),'Monthly Payroll'!$B$3:$B$202,"&lt;"&amp;DATE($B$3+1,1,1))</f>
        <v/>
      </c>
      <c r="D6" s="34">
        <f>DATE($B$3,1,1)</f>
        <v/>
      </c>
      <c r="E6" s="35">
        <f>SUMIFS('Monthly Payroll'!$L$3:$L$202,'Monthly Payroll'!$B$3:$B$202,"&gt;="&amp;D6,'Monthly Payroll'!$B$3:$B$202,"&lt;"&amp;EDATE(D6,1))</f>
        <v/>
      </c>
    </row>
    <row r="7">
      <c r="A7" s="13" t="inlineStr">
        <is>
          <t>Employee NI (GBP)</t>
        </is>
      </c>
      <c r="B7" s="32">
        <f>SUMIFS('Monthly Payroll'!$N$3:$N$202,'Monthly Payroll'!$B$3:$B$202,"&gt;="&amp;DATE($B$3,1,1),'Monthly Payroll'!$B$3:$B$202,"&lt;"&amp;DATE($B$3+1,1,1))</f>
        <v/>
      </c>
      <c r="D7" s="34">
        <f>DATE($B$3,2,1)</f>
        <v/>
      </c>
      <c r="E7" s="35">
        <f>SUMIFS('Monthly Payroll'!$L$3:$L$202,'Monthly Payroll'!$B$3:$B$202,"&gt;="&amp;D7,'Monthly Payroll'!$B$3:$B$202,"&lt;"&amp;EDATE(D7,1))</f>
        <v/>
      </c>
    </row>
    <row r="8">
      <c r="A8" s="13" t="inlineStr">
        <is>
          <t>Employee Pension (GBP)</t>
        </is>
      </c>
      <c r="B8" s="32">
        <f>SUMIFS('Monthly Payroll'!$O$3:$O$202,'Monthly Payroll'!$B$3:$B$202,"&gt;="&amp;DATE($B$3,1,1),'Monthly Payroll'!$B$3:$B$202,"&lt;"&amp;DATE($B$3+1,1,1))</f>
        <v/>
      </c>
      <c r="D8" s="34">
        <f>DATE($B$3,3,1)</f>
        <v/>
      </c>
      <c r="E8" s="35">
        <f>SUMIFS('Monthly Payroll'!$L$3:$L$202,'Monthly Payroll'!$B$3:$B$202,"&gt;="&amp;D8,'Monthly Payroll'!$B$3:$B$202,"&lt;"&amp;EDATE(D8,1))</f>
        <v/>
      </c>
    </row>
    <row r="9">
      <c r="A9" s="13" t="inlineStr">
        <is>
          <t>Net Pay (GBP)</t>
        </is>
      </c>
      <c r="B9" s="32">
        <f>SUMIFS('Monthly Payroll'!$R$3:$R$202,'Monthly Payroll'!$B$3:$B$202,"&gt;="&amp;DATE($B$3,1,1),'Monthly Payroll'!$B$3:$B$202,"&lt;"&amp;DATE($B$3+1,1,1))</f>
        <v/>
      </c>
      <c r="D9" s="34">
        <f>DATE($B$3,4,1)</f>
        <v/>
      </c>
      <c r="E9" s="35">
        <f>SUMIFS('Monthly Payroll'!$L$3:$L$202,'Monthly Payroll'!$B$3:$B$202,"&gt;="&amp;D9,'Monthly Payroll'!$B$3:$B$202,"&lt;"&amp;EDATE(D9,1))</f>
        <v/>
      </c>
    </row>
    <row r="10">
      <c r="A10" s="13" t="inlineStr">
        <is>
          <t>Employer NI (GBP)</t>
        </is>
      </c>
      <c r="B10" s="32">
        <f>SUMIFS('Monthly Payroll'!$S$3:$S$202,'Monthly Payroll'!$B$3:$B$202,"&gt;="&amp;DATE($B$3,1,1),'Monthly Payroll'!$B$3:$B$202,"&lt;"&amp;DATE($B$3+1,1,1))</f>
        <v/>
      </c>
      <c r="D10" s="34">
        <f>DATE($B$3,5,1)</f>
        <v/>
      </c>
      <c r="E10" s="35">
        <f>SUMIFS('Monthly Payroll'!$L$3:$L$202,'Monthly Payroll'!$B$3:$B$202,"&gt;="&amp;D10,'Monthly Payroll'!$B$3:$B$202,"&lt;"&amp;EDATE(D10,1))</f>
        <v/>
      </c>
    </row>
    <row r="11">
      <c r="A11" s="13" t="inlineStr">
        <is>
          <t>Employer Pension (GBP)</t>
        </is>
      </c>
      <c r="B11" s="32">
        <f>SUMIFS('Monthly Payroll'!$T$3:$T$202,'Monthly Payroll'!$B$3:$B$202,"&gt;="&amp;DATE($B$3,1,1),'Monthly Payroll'!$B$3:$B$202,"&lt;"&amp;DATE($B$3+1,1,1))</f>
        <v/>
      </c>
      <c r="D11" s="34">
        <f>DATE($B$3,6,1)</f>
        <v/>
      </c>
      <c r="E11" s="35">
        <f>SUMIFS('Monthly Payroll'!$L$3:$L$202,'Monthly Payroll'!$B$3:$B$202,"&gt;="&amp;D11,'Monthly Payroll'!$B$3:$B$202,"&lt;"&amp;EDATE(D11,1))</f>
        <v/>
      </c>
    </row>
    <row r="12">
      <c r="A12" s="13" t="inlineStr">
        <is>
          <t>Total Employer Cost (GBP)</t>
        </is>
      </c>
      <c r="B12" s="32">
        <f>SUMIFS('Monthly Payroll'!$U$3:$U$202,'Monthly Payroll'!$B$3:$B$202,"&gt;="&amp;DATE($B$3,1,1),'Monthly Payroll'!$B$3:$B$202,"&lt;"&amp;DATE($B$3+1,1,1))</f>
        <v/>
      </c>
      <c r="D12" s="34">
        <f>DATE($B$3,7,1)</f>
        <v/>
      </c>
      <c r="E12" s="35">
        <f>SUMIFS('Monthly Payroll'!$L$3:$L$202,'Monthly Payroll'!$B$3:$B$202,"&gt;="&amp;D12,'Monthly Payroll'!$B$3:$B$202,"&lt;"&amp;EDATE(D12,1))</f>
        <v/>
      </c>
    </row>
    <row r="13">
      <c r="A13" s="13" t="inlineStr">
        <is>
          <t>Pending / Unpaid Payroll Rows</t>
        </is>
      </c>
      <c r="B13" s="36">
        <f>COUNTIF('Monthly Payroll'!$W$3:$W$202,"Pending")</f>
        <v/>
      </c>
      <c r="D13" s="34">
        <f>DATE($B$3,8,1)</f>
        <v/>
      </c>
      <c r="E13" s="35">
        <f>SUMIFS('Monthly Payroll'!$L$3:$L$202,'Monthly Payroll'!$B$3:$B$202,"&gt;="&amp;D13,'Monthly Payroll'!$B$3:$B$202,"&lt;"&amp;EDATE(D13,1))</f>
        <v/>
      </c>
    </row>
    <row r="14">
      <c r="A14" s="13" t="inlineStr">
        <is>
          <t>Active Employee Records</t>
        </is>
      </c>
      <c r="B14" s="36">
        <f>COUNTIF('Employee Database'!$Q$3:$Q$202,"Active")</f>
        <v/>
      </c>
      <c r="D14" s="34">
        <f>DATE($B$3,9,1)</f>
        <v/>
      </c>
      <c r="E14" s="35">
        <f>SUMIFS('Monthly Payroll'!$L$3:$L$202,'Monthly Payroll'!$B$3:$B$202,"&gt;="&amp;D14,'Monthly Payroll'!$B$3:$B$202,"&lt;"&amp;EDATE(D14,1))</f>
        <v/>
      </c>
    </row>
    <row r="15">
      <c r="D15" s="34">
        <f>DATE($B$3,10,1)</f>
        <v/>
      </c>
      <c r="E15" s="35">
        <f>SUMIFS('Monthly Payroll'!$L$3:$L$202,'Monthly Payroll'!$B$3:$B$202,"&gt;="&amp;D15,'Monthly Payroll'!$B$3:$B$202,"&lt;"&amp;EDATE(D15,1))</f>
        <v/>
      </c>
    </row>
    <row r="16">
      <c r="D16" s="34">
        <f>DATE($B$3,11,1)</f>
        <v/>
      </c>
      <c r="E16" s="35">
        <f>SUMIFS('Monthly Payroll'!$L$3:$L$202,'Monthly Payroll'!$B$3:$B$202,"&gt;="&amp;D16,'Monthly Payroll'!$B$3:$B$202,"&lt;"&amp;EDATE(D16,1))</f>
        <v/>
      </c>
    </row>
    <row r="17">
      <c r="D17" s="34">
        <f>DATE($B$3,12,1)</f>
        <v/>
      </c>
      <c r="E17" s="35">
        <f>SUMIFS('Monthly Payroll'!$L$3:$L$202,'Monthly Payroll'!$B$3:$B$202,"&gt;="&amp;D17,'Monthly Payroll'!$B$3:$B$202,"&lt;"&amp;EDATE(D17,1))</f>
        <v/>
      </c>
    </row>
  </sheetData>
  <mergeCells count="2">
    <mergeCell ref="A2:F2"/>
    <mergeCell ref="A1:F1"/>
  </mergeCells>
  <pageMargins left="0.3" right="0.3" top="0.5" bottom="0.5" header="0.5" footer="0.5"/>
  <pageSetup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17365D"/>
    <outlinePr summaryBelow="1" summaryRight="1"/>
    <pageSetUpPr fitToPage="1"/>
  </sheetPr>
  <dimension ref="A1:R204"/>
  <sheetViews>
    <sheetView showGridLines="0" zoomScale="95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2" customWidth="1" min="3" max="3"/>
    <col width="18" customWidth="1" min="4" max="4"/>
    <col width="16" customWidth="1" min="5" max="5"/>
    <col width="20" customWidth="1" min="6" max="6"/>
    <col width="15" customWidth="1" min="7" max="7"/>
    <col width="15" customWidth="1" min="8" max="8"/>
    <col width="16" customWidth="1" min="9" max="9"/>
    <col width="20" customWidth="1" min="10" max="10"/>
    <col width="18" customWidth="1" min="11" max="11"/>
    <col width="17" customWidth="1" min="12" max="12"/>
    <col width="17" customWidth="1" min="13" max="13"/>
    <col width="14" customWidth="1" min="14" max="14"/>
    <col width="14" customWidth="1" min="15" max="15"/>
    <col width="28" customWidth="1" min="16" max="16"/>
    <col width="14" customWidth="1" min="17" max="17"/>
    <col width="32" customWidth="1" min="18" max="18"/>
  </cols>
  <sheetData>
    <row r="1">
      <c r="A1" s="37" t="inlineStr">
        <is>
          <t>AVERRA STAFFING SOLUTIONS LTD</t>
        </is>
      </c>
    </row>
    <row r="2" ht="32" customHeight="1">
      <c r="A2" s="33" t="inlineStr">
        <is>
          <t>Employee ID</t>
        </is>
      </c>
      <c r="B2" s="33" t="inlineStr">
        <is>
          <t>Full Name</t>
        </is>
      </c>
      <c r="C2" s="33" t="inlineStr">
        <is>
          <t>Job Title</t>
        </is>
      </c>
      <c r="D2" s="33" t="inlineStr">
        <is>
          <t>Department</t>
        </is>
      </c>
      <c r="E2" s="33" t="inlineStr">
        <is>
          <t>Work Country</t>
        </is>
      </c>
      <c r="F2" s="33" t="inlineStr">
        <is>
          <t>Worker Type</t>
        </is>
      </c>
      <c r="G2" s="33" t="inlineStr">
        <is>
          <t>Start Date</t>
        </is>
      </c>
      <c r="H2" s="33" t="inlineStr">
        <is>
          <t>End Date</t>
        </is>
      </c>
      <c r="I2" s="33" t="inlineStr">
        <is>
          <t>Pay Frequency</t>
        </is>
      </c>
      <c r="J2" s="33" t="inlineStr">
        <is>
          <t>Annual Salary (GBP)</t>
        </is>
      </c>
      <c r="K2" s="33" t="inlineStr">
        <is>
          <t>Hourly Rate (GBP)</t>
        </is>
      </c>
      <c r="L2" s="33" t="inlineStr">
        <is>
          <t>Employee Pension %</t>
        </is>
      </c>
      <c r="M2" s="33" t="inlineStr">
        <is>
          <t>Employer Pension %</t>
        </is>
      </c>
      <c r="N2" s="33" t="inlineStr">
        <is>
          <t>Tax Code</t>
        </is>
      </c>
      <c r="O2" s="33" t="inlineStr">
        <is>
          <t>NI Category</t>
        </is>
      </c>
      <c r="P2" s="33" t="inlineStr">
        <is>
          <t>Email</t>
        </is>
      </c>
      <c r="Q2" s="33" t="inlineStr">
        <is>
          <t>Status</t>
        </is>
      </c>
      <c r="R2" s="33" t="inlineStr">
        <is>
          <t>Notes</t>
        </is>
      </c>
    </row>
    <row r="3">
      <c r="A3" s="38" t="n"/>
      <c r="B3" s="38" t="n"/>
      <c r="C3" s="38" t="n"/>
      <c r="D3" s="38" t="n"/>
      <c r="E3" s="38" t="n"/>
      <c r="F3" s="38" t="n"/>
      <c r="G3" s="39" t="n"/>
      <c r="H3" s="39" t="n"/>
      <c r="I3" s="38" t="n"/>
      <c r="J3" s="40" t="n"/>
      <c r="K3" s="40" t="n"/>
      <c r="L3" s="41" t="n"/>
      <c r="M3" s="41" t="n"/>
      <c r="N3" s="38" t="n"/>
      <c r="O3" s="38" t="n"/>
      <c r="P3" s="38" t="n"/>
      <c r="Q3" s="38">
        <f>IF(B3="","",IF(H3&lt;&gt;"","Inactive","Active"))</f>
        <v/>
      </c>
      <c r="R3" s="21" t="n"/>
    </row>
    <row r="4">
      <c r="A4" s="38" t="n"/>
      <c r="B4" s="38" t="n"/>
      <c r="C4" s="38" t="n"/>
      <c r="D4" s="38" t="n"/>
      <c r="E4" s="38" t="n"/>
      <c r="F4" s="38" t="n"/>
      <c r="G4" s="39" t="n"/>
      <c r="H4" s="39" t="n"/>
      <c r="I4" s="38" t="n"/>
      <c r="J4" s="40" t="n"/>
      <c r="K4" s="40" t="n"/>
      <c r="L4" s="41" t="n"/>
      <c r="M4" s="41" t="n"/>
      <c r="N4" s="38" t="n"/>
      <c r="O4" s="38" t="n"/>
      <c r="P4" s="38" t="n"/>
      <c r="Q4" s="38">
        <f>IF(B4="","",IF(H4&lt;&gt;"","Inactive","Active"))</f>
        <v/>
      </c>
      <c r="R4" s="21" t="n"/>
    </row>
    <row r="5">
      <c r="A5" s="38" t="n"/>
      <c r="B5" s="38" t="n"/>
      <c r="C5" s="38" t="n"/>
      <c r="D5" s="38" t="n"/>
      <c r="E5" s="38" t="n"/>
      <c r="F5" s="38" t="n"/>
      <c r="G5" s="39" t="n"/>
      <c r="H5" s="39" t="n"/>
      <c r="I5" s="38" t="n"/>
      <c r="J5" s="40" t="n"/>
      <c r="K5" s="40" t="n"/>
      <c r="L5" s="41" t="n"/>
      <c r="M5" s="41" t="n"/>
      <c r="N5" s="38" t="n"/>
      <c r="O5" s="38" t="n"/>
      <c r="P5" s="38" t="n"/>
      <c r="Q5" s="38">
        <f>IF(B5="","",IF(H5&lt;&gt;"","Inactive","Active"))</f>
        <v/>
      </c>
      <c r="R5" s="21" t="n"/>
    </row>
    <row r="6">
      <c r="A6" s="38" t="n"/>
      <c r="B6" s="38" t="n"/>
      <c r="C6" s="38" t="n"/>
      <c r="D6" s="38" t="n"/>
      <c r="E6" s="38" t="n"/>
      <c r="F6" s="38" t="n"/>
      <c r="G6" s="39" t="n"/>
      <c r="H6" s="39" t="n"/>
      <c r="I6" s="38" t="n"/>
      <c r="J6" s="40" t="n"/>
      <c r="K6" s="40" t="n"/>
      <c r="L6" s="41" t="n"/>
      <c r="M6" s="41" t="n"/>
      <c r="N6" s="38" t="n"/>
      <c r="O6" s="38" t="n"/>
      <c r="P6" s="38" t="n"/>
      <c r="Q6" s="38">
        <f>IF(B6="","",IF(H6&lt;&gt;"","Inactive","Active"))</f>
        <v/>
      </c>
      <c r="R6" s="21" t="n"/>
    </row>
    <row r="7">
      <c r="A7" s="38" t="n"/>
      <c r="B7" s="38" t="n"/>
      <c r="C7" s="38" t="n"/>
      <c r="D7" s="38" t="n"/>
      <c r="E7" s="38" t="n"/>
      <c r="F7" s="38" t="n"/>
      <c r="G7" s="39" t="n"/>
      <c r="H7" s="39" t="n"/>
      <c r="I7" s="38" t="n"/>
      <c r="J7" s="40" t="n"/>
      <c r="K7" s="40" t="n"/>
      <c r="L7" s="41" t="n"/>
      <c r="M7" s="41" t="n"/>
      <c r="N7" s="38" t="n"/>
      <c r="O7" s="38" t="n"/>
      <c r="P7" s="38" t="n"/>
      <c r="Q7" s="38">
        <f>IF(B7="","",IF(H7&lt;&gt;"","Inactive","Active"))</f>
        <v/>
      </c>
      <c r="R7" s="21" t="n"/>
    </row>
    <row r="8">
      <c r="A8" s="38" t="n"/>
      <c r="B8" s="38" t="n"/>
      <c r="C8" s="38" t="n"/>
      <c r="D8" s="38" t="n"/>
      <c r="E8" s="38" t="n"/>
      <c r="F8" s="38" t="n"/>
      <c r="G8" s="39" t="n"/>
      <c r="H8" s="39" t="n"/>
      <c r="I8" s="38" t="n"/>
      <c r="J8" s="40" t="n"/>
      <c r="K8" s="40" t="n"/>
      <c r="L8" s="41" t="n"/>
      <c r="M8" s="41" t="n"/>
      <c r="N8" s="38" t="n"/>
      <c r="O8" s="38" t="n"/>
      <c r="P8" s="38" t="n"/>
      <c r="Q8" s="38">
        <f>IF(B8="","",IF(H8&lt;&gt;"","Inactive","Active"))</f>
        <v/>
      </c>
      <c r="R8" s="21" t="n"/>
    </row>
    <row r="9">
      <c r="A9" s="38" t="n"/>
      <c r="B9" s="38" t="n"/>
      <c r="C9" s="38" t="n"/>
      <c r="D9" s="38" t="n"/>
      <c r="E9" s="38" t="n"/>
      <c r="F9" s="38" t="n"/>
      <c r="G9" s="39" t="n"/>
      <c r="H9" s="39" t="n"/>
      <c r="I9" s="38" t="n"/>
      <c r="J9" s="40" t="n"/>
      <c r="K9" s="40" t="n"/>
      <c r="L9" s="41" t="n"/>
      <c r="M9" s="41" t="n"/>
      <c r="N9" s="38" t="n"/>
      <c r="O9" s="38" t="n"/>
      <c r="P9" s="38" t="n"/>
      <c r="Q9" s="38">
        <f>IF(B9="","",IF(H9&lt;&gt;"","Inactive","Active"))</f>
        <v/>
      </c>
      <c r="R9" s="21" t="n"/>
    </row>
    <row r="10">
      <c r="A10" s="38" t="n"/>
      <c r="B10" s="38" t="n"/>
      <c r="C10" s="38" t="n"/>
      <c r="D10" s="38" t="n"/>
      <c r="E10" s="38" t="n"/>
      <c r="F10" s="38" t="n"/>
      <c r="G10" s="39" t="n"/>
      <c r="H10" s="39" t="n"/>
      <c r="I10" s="38" t="n"/>
      <c r="J10" s="40" t="n"/>
      <c r="K10" s="40" t="n"/>
      <c r="L10" s="41" t="n"/>
      <c r="M10" s="41" t="n"/>
      <c r="N10" s="38" t="n"/>
      <c r="O10" s="38" t="n"/>
      <c r="P10" s="38" t="n"/>
      <c r="Q10" s="38">
        <f>IF(B10="","",IF(H10&lt;&gt;"","Inactive","Active"))</f>
        <v/>
      </c>
      <c r="R10" s="21" t="n"/>
    </row>
    <row r="11">
      <c r="A11" s="38" t="n"/>
      <c r="B11" s="38" t="n"/>
      <c r="C11" s="38" t="n"/>
      <c r="D11" s="38" t="n"/>
      <c r="E11" s="38" t="n"/>
      <c r="F11" s="38" t="n"/>
      <c r="G11" s="39" t="n"/>
      <c r="H11" s="39" t="n"/>
      <c r="I11" s="38" t="n"/>
      <c r="J11" s="40" t="n"/>
      <c r="K11" s="40" t="n"/>
      <c r="L11" s="41" t="n"/>
      <c r="M11" s="41" t="n"/>
      <c r="N11" s="38" t="n"/>
      <c r="O11" s="38" t="n"/>
      <c r="P11" s="38" t="n"/>
      <c r="Q11" s="38">
        <f>IF(B11="","",IF(H11&lt;&gt;"","Inactive","Active"))</f>
        <v/>
      </c>
      <c r="R11" s="21" t="n"/>
    </row>
    <row r="12">
      <c r="A12" s="38" t="n"/>
      <c r="B12" s="38" t="n"/>
      <c r="C12" s="38" t="n"/>
      <c r="D12" s="38" t="n"/>
      <c r="E12" s="38" t="n"/>
      <c r="F12" s="38" t="n"/>
      <c r="G12" s="39" t="n"/>
      <c r="H12" s="39" t="n"/>
      <c r="I12" s="38" t="n"/>
      <c r="J12" s="40" t="n"/>
      <c r="K12" s="40" t="n"/>
      <c r="L12" s="41" t="n"/>
      <c r="M12" s="41" t="n"/>
      <c r="N12" s="38" t="n"/>
      <c r="O12" s="38" t="n"/>
      <c r="P12" s="38" t="n"/>
      <c r="Q12" s="38">
        <f>IF(B12="","",IF(H12&lt;&gt;"","Inactive","Active"))</f>
        <v/>
      </c>
      <c r="R12" s="21" t="n"/>
    </row>
    <row r="13">
      <c r="A13" s="38" t="n"/>
      <c r="B13" s="38" t="n"/>
      <c r="C13" s="38" t="n"/>
      <c r="D13" s="38" t="n"/>
      <c r="E13" s="38" t="n"/>
      <c r="F13" s="38" t="n"/>
      <c r="G13" s="39" t="n"/>
      <c r="H13" s="39" t="n"/>
      <c r="I13" s="38" t="n"/>
      <c r="J13" s="40" t="n"/>
      <c r="K13" s="40" t="n"/>
      <c r="L13" s="41" t="n"/>
      <c r="M13" s="41" t="n"/>
      <c r="N13" s="38" t="n"/>
      <c r="O13" s="38" t="n"/>
      <c r="P13" s="38" t="n"/>
      <c r="Q13" s="38">
        <f>IF(B13="","",IF(H13&lt;&gt;"","Inactive","Active"))</f>
        <v/>
      </c>
      <c r="R13" s="21" t="n"/>
    </row>
    <row r="14">
      <c r="A14" s="38" t="n"/>
      <c r="B14" s="38" t="n"/>
      <c r="C14" s="38" t="n"/>
      <c r="D14" s="38" t="n"/>
      <c r="E14" s="38" t="n"/>
      <c r="F14" s="38" t="n"/>
      <c r="G14" s="39" t="n"/>
      <c r="H14" s="39" t="n"/>
      <c r="I14" s="38" t="n"/>
      <c r="J14" s="40" t="n"/>
      <c r="K14" s="40" t="n"/>
      <c r="L14" s="41" t="n"/>
      <c r="M14" s="41" t="n"/>
      <c r="N14" s="38" t="n"/>
      <c r="O14" s="38" t="n"/>
      <c r="P14" s="38" t="n"/>
      <c r="Q14" s="38">
        <f>IF(B14="","",IF(H14&lt;&gt;"","Inactive","Active"))</f>
        <v/>
      </c>
      <c r="R14" s="21" t="n"/>
    </row>
    <row r="15">
      <c r="A15" s="38" t="n"/>
      <c r="B15" s="38" t="n"/>
      <c r="C15" s="38" t="n"/>
      <c r="D15" s="38" t="n"/>
      <c r="E15" s="38" t="n"/>
      <c r="F15" s="38" t="n"/>
      <c r="G15" s="39" t="n"/>
      <c r="H15" s="39" t="n"/>
      <c r="I15" s="38" t="n"/>
      <c r="J15" s="40" t="n"/>
      <c r="K15" s="40" t="n"/>
      <c r="L15" s="41" t="n"/>
      <c r="M15" s="41" t="n"/>
      <c r="N15" s="38" t="n"/>
      <c r="O15" s="38" t="n"/>
      <c r="P15" s="38" t="n"/>
      <c r="Q15" s="38">
        <f>IF(B15="","",IF(H15&lt;&gt;"","Inactive","Active"))</f>
        <v/>
      </c>
      <c r="R15" s="21" t="n"/>
    </row>
    <row r="16">
      <c r="A16" s="38" t="n"/>
      <c r="B16" s="38" t="n"/>
      <c r="C16" s="38" t="n"/>
      <c r="D16" s="38" t="n"/>
      <c r="E16" s="38" t="n"/>
      <c r="F16" s="38" t="n"/>
      <c r="G16" s="39" t="n"/>
      <c r="H16" s="39" t="n"/>
      <c r="I16" s="38" t="n"/>
      <c r="J16" s="40" t="n"/>
      <c r="K16" s="40" t="n"/>
      <c r="L16" s="41" t="n"/>
      <c r="M16" s="41" t="n"/>
      <c r="N16" s="38" t="n"/>
      <c r="O16" s="38" t="n"/>
      <c r="P16" s="38" t="n"/>
      <c r="Q16" s="38">
        <f>IF(B16="","",IF(H16&lt;&gt;"","Inactive","Active"))</f>
        <v/>
      </c>
      <c r="R16" s="21" t="n"/>
    </row>
    <row r="17">
      <c r="A17" s="38" t="n"/>
      <c r="B17" s="38" t="n"/>
      <c r="C17" s="38" t="n"/>
      <c r="D17" s="38" t="n"/>
      <c r="E17" s="38" t="n"/>
      <c r="F17" s="38" t="n"/>
      <c r="G17" s="39" t="n"/>
      <c r="H17" s="39" t="n"/>
      <c r="I17" s="38" t="n"/>
      <c r="J17" s="40" t="n"/>
      <c r="K17" s="40" t="n"/>
      <c r="L17" s="41" t="n"/>
      <c r="M17" s="41" t="n"/>
      <c r="N17" s="38" t="n"/>
      <c r="O17" s="38" t="n"/>
      <c r="P17" s="38" t="n"/>
      <c r="Q17" s="38">
        <f>IF(B17="","",IF(H17&lt;&gt;"","Inactive","Active"))</f>
        <v/>
      </c>
      <c r="R17" s="21" t="n"/>
    </row>
    <row r="18">
      <c r="A18" s="38" t="n"/>
      <c r="B18" s="38" t="n"/>
      <c r="C18" s="38" t="n"/>
      <c r="D18" s="38" t="n"/>
      <c r="E18" s="38" t="n"/>
      <c r="F18" s="38" t="n"/>
      <c r="G18" s="39" t="n"/>
      <c r="H18" s="39" t="n"/>
      <c r="I18" s="38" t="n"/>
      <c r="J18" s="40" t="n"/>
      <c r="K18" s="40" t="n"/>
      <c r="L18" s="41" t="n"/>
      <c r="M18" s="41" t="n"/>
      <c r="N18" s="38" t="n"/>
      <c r="O18" s="38" t="n"/>
      <c r="P18" s="38" t="n"/>
      <c r="Q18" s="38">
        <f>IF(B18="","",IF(H18&lt;&gt;"","Inactive","Active"))</f>
        <v/>
      </c>
      <c r="R18" s="21" t="n"/>
    </row>
    <row r="19">
      <c r="A19" s="38" t="n"/>
      <c r="B19" s="38" t="n"/>
      <c r="C19" s="38" t="n"/>
      <c r="D19" s="38" t="n"/>
      <c r="E19" s="38" t="n"/>
      <c r="F19" s="38" t="n"/>
      <c r="G19" s="39" t="n"/>
      <c r="H19" s="39" t="n"/>
      <c r="I19" s="38" t="n"/>
      <c r="J19" s="40" t="n"/>
      <c r="K19" s="40" t="n"/>
      <c r="L19" s="41" t="n"/>
      <c r="M19" s="41" t="n"/>
      <c r="N19" s="38" t="n"/>
      <c r="O19" s="38" t="n"/>
      <c r="P19" s="38" t="n"/>
      <c r="Q19" s="38">
        <f>IF(B19="","",IF(H19&lt;&gt;"","Inactive","Active"))</f>
        <v/>
      </c>
      <c r="R19" s="21" t="n"/>
    </row>
    <row r="20">
      <c r="A20" s="38" t="n"/>
      <c r="B20" s="38" t="n"/>
      <c r="C20" s="38" t="n"/>
      <c r="D20" s="38" t="n"/>
      <c r="E20" s="38" t="n"/>
      <c r="F20" s="38" t="n"/>
      <c r="G20" s="39" t="n"/>
      <c r="H20" s="39" t="n"/>
      <c r="I20" s="38" t="n"/>
      <c r="J20" s="40" t="n"/>
      <c r="K20" s="40" t="n"/>
      <c r="L20" s="41" t="n"/>
      <c r="M20" s="41" t="n"/>
      <c r="N20" s="38" t="n"/>
      <c r="O20" s="38" t="n"/>
      <c r="P20" s="38" t="n"/>
      <c r="Q20" s="38">
        <f>IF(B20="","",IF(H20&lt;&gt;"","Inactive","Active"))</f>
        <v/>
      </c>
      <c r="R20" s="21" t="n"/>
    </row>
    <row r="21">
      <c r="A21" s="38" t="n"/>
      <c r="B21" s="38" t="n"/>
      <c r="C21" s="38" t="n"/>
      <c r="D21" s="38" t="n"/>
      <c r="E21" s="38" t="n"/>
      <c r="F21" s="38" t="n"/>
      <c r="G21" s="39" t="n"/>
      <c r="H21" s="39" t="n"/>
      <c r="I21" s="38" t="n"/>
      <c r="J21" s="40" t="n"/>
      <c r="K21" s="40" t="n"/>
      <c r="L21" s="41" t="n"/>
      <c r="M21" s="41" t="n"/>
      <c r="N21" s="38" t="n"/>
      <c r="O21" s="38" t="n"/>
      <c r="P21" s="38" t="n"/>
      <c r="Q21" s="38">
        <f>IF(B21="","",IF(H21&lt;&gt;"","Inactive","Active"))</f>
        <v/>
      </c>
      <c r="R21" s="21" t="n"/>
    </row>
    <row r="22">
      <c r="A22" s="38" t="n"/>
      <c r="B22" s="38" t="n"/>
      <c r="C22" s="38" t="n"/>
      <c r="D22" s="38" t="n"/>
      <c r="E22" s="38" t="n"/>
      <c r="F22" s="38" t="n"/>
      <c r="G22" s="39" t="n"/>
      <c r="H22" s="39" t="n"/>
      <c r="I22" s="38" t="n"/>
      <c r="J22" s="40" t="n"/>
      <c r="K22" s="40" t="n"/>
      <c r="L22" s="41" t="n"/>
      <c r="M22" s="41" t="n"/>
      <c r="N22" s="38" t="n"/>
      <c r="O22" s="38" t="n"/>
      <c r="P22" s="38" t="n"/>
      <c r="Q22" s="38">
        <f>IF(B22="","",IF(H22&lt;&gt;"","Inactive","Active"))</f>
        <v/>
      </c>
      <c r="R22" s="21" t="n"/>
    </row>
    <row r="23">
      <c r="A23" s="38" t="n"/>
      <c r="B23" s="38" t="n"/>
      <c r="C23" s="38" t="n"/>
      <c r="D23" s="38" t="n"/>
      <c r="E23" s="38" t="n"/>
      <c r="F23" s="38" t="n"/>
      <c r="G23" s="39" t="n"/>
      <c r="H23" s="39" t="n"/>
      <c r="I23" s="38" t="n"/>
      <c r="J23" s="40" t="n"/>
      <c r="K23" s="40" t="n"/>
      <c r="L23" s="41" t="n"/>
      <c r="M23" s="41" t="n"/>
      <c r="N23" s="38" t="n"/>
      <c r="O23" s="38" t="n"/>
      <c r="P23" s="38" t="n"/>
      <c r="Q23" s="38">
        <f>IF(B23="","",IF(H23&lt;&gt;"","Inactive","Active"))</f>
        <v/>
      </c>
      <c r="R23" s="21" t="n"/>
    </row>
    <row r="24">
      <c r="A24" s="38" t="n"/>
      <c r="B24" s="38" t="n"/>
      <c r="C24" s="38" t="n"/>
      <c r="D24" s="38" t="n"/>
      <c r="E24" s="38" t="n"/>
      <c r="F24" s="38" t="n"/>
      <c r="G24" s="39" t="n"/>
      <c r="H24" s="39" t="n"/>
      <c r="I24" s="38" t="n"/>
      <c r="J24" s="40" t="n"/>
      <c r="K24" s="40" t="n"/>
      <c r="L24" s="41" t="n"/>
      <c r="M24" s="41" t="n"/>
      <c r="N24" s="38" t="n"/>
      <c r="O24" s="38" t="n"/>
      <c r="P24" s="38" t="n"/>
      <c r="Q24" s="38">
        <f>IF(B24="","",IF(H24&lt;&gt;"","Inactive","Active"))</f>
        <v/>
      </c>
      <c r="R24" s="21" t="n"/>
    </row>
    <row r="25">
      <c r="A25" s="38" t="n"/>
      <c r="B25" s="38" t="n"/>
      <c r="C25" s="38" t="n"/>
      <c r="D25" s="38" t="n"/>
      <c r="E25" s="38" t="n"/>
      <c r="F25" s="38" t="n"/>
      <c r="G25" s="39" t="n"/>
      <c r="H25" s="39" t="n"/>
      <c r="I25" s="38" t="n"/>
      <c r="J25" s="40" t="n"/>
      <c r="K25" s="40" t="n"/>
      <c r="L25" s="41" t="n"/>
      <c r="M25" s="41" t="n"/>
      <c r="N25" s="38" t="n"/>
      <c r="O25" s="38" t="n"/>
      <c r="P25" s="38" t="n"/>
      <c r="Q25" s="38">
        <f>IF(B25="","",IF(H25&lt;&gt;"","Inactive","Active"))</f>
        <v/>
      </c>
      <c r="R25" s="21" t="n"/>
    </row>
    <row r="26">
      <c r="A26" s="38" t="n"/>
      <c r="B26" s="38" t="n"/>
      <c r="C26" s="38" t="n"/>
      <c r="D26" s="38" t="n"/>
      <c r="E26" s="38" t="n"/>
      <c r="F26" s="38" t="n"/>
      <c r="G26" s="39" t="n"/>
      <c r="H26" s="39" t="n"/>
      <c r="I26" s="38" t="n"/>
      <c r="J26" s="40" t="n"/>
      <c r="K26" s="40" t="n"/>
      <c r="L26" s="41" t="n"/>
      <c r="M26" s="41" t="n"/>
      <c r="N26" s="38" t="n"/>
      <c r="O26" s="38" t="n"/>
      <c r="P26" s="38" t="n"/>
      <c r="Q26" s="38">
        <f>IF(B26="","",IF(H26&lt;&gt;"","Inactive","Active"))</f>
        <v/>
      </c>
      <c r="R26" s="21" t="n"/>
    </row>
    <row r="27">
      <c r="A27" s="38" t="n"/>
      <c r="B27" s="38" t="n"/>
      <c r="C27" s="38" t="n"/>
      <c r="D27" s="38" t="n"/>
      <c r="E27" s="38" t="n"/>
      <c r="F27" s="38" t="n"/>
      <c r="G27" s="39" t="n"/>
      <c r="H27" s="39" t="n"/>
      <c r="I27" s="38" t="n"/>
      <c r="J27" s="40" t="n"/>
      <c r="K27" s="40" t="n"/>
      <c r="L27" s="41" t="n"/>
      <c r="M27" s="41" t="n"/>
      <c r="N27" s="38" t="n"/>
      <c r="O27" s="38" t="n"/>
      <c r="P27" s="38" t="n"/>
      <c r="Q27" s="38">
        <f>IF(B27="","",IF(H27&lt;&gt;"","Inactive","Active"))</f>
        <v/>
      </c>
      <c r="R27" s="21" t="n"/>
    </row>
    <row r="28">
      <c r="A28" s="38" t="n"/>
      <c r="B28" s="38" t="n"/>
      <c r="C28" s="38" t="n"/>
      <c r="D28" s="38" t="n"/>
      <c r="E28" s="38" t="n"/>
      <c r="F28" s="38" t="n"/>
      <c r="G28" s="39" t="n"/>
      <c r="H28" s="39" t="n"/>
      <c r="I28" s="38" t="n"/>
      <c r="J28" s="40" t="n"/>
      <c r="K28" s="40" t="n"/>
      <c r="L28" s="41" t="n"/>
      <c r="M28" s="41" t="n"/>
      <c r="N28" s="38" t="n"/>
      <c r="O28" s="38" t="n"/>
      <c r="P28" s="38" t="n"/>
      <c r="Q28" s="38">
        <f>IF(B28="","",IF(H28&lt;&gt;"","Inactive","Active"))</f>
        <v/>
      </c>
      <c r="R28" s="21" t="n"/>
    </row>
    <row r="29">
      <c r="A29" s="38" t="n"/>
      <c r="B29" s="38" t="n"/>
      <c r="C29" s="38" t="n"/>
      <c r="D29" s="38" t="n"/>
      <c r="E29" s="38" t="n"/>
      <c r="F29" s="38" t="n"/>
      <c r="G29" s="39" t="n"/>
      <c r="H29" s="39" t="n"/>
      <c r="I29" s="38" t="n"/>
      <c r="J29" s="40" t="n"/>
      <c r="K29" s="40" t="n"/>
      <c r="L29" s="41" t="n"/>
      <c r="M29" s="41" t="n"/>
      <c r="N29" s="38" t="n"/>
      <c r="O29" s="38" t="n"/>
      <c r="P29" s="38" t="n"/>
      <c r="Q29" s="38">
        <f>IF(B29="","",IF(H29&lt;&gt;"","Inactive","Active"))</f>
        <v/>
      </c>
      <c r="R29" s="21" t="n"/>
    </row>
    <row r="30">
      <c r="A30" s="38" t="n"/>
      <c r="B30" s="38" t="n"/>
      <c r="C30" s="38" t="n"/>
      <c r="D30" s="38" t="n"/>
      <c r="E30" s="38" t="n"/>
      <c r="F30" s="38" t="n"/>
      <c r="G30" s="39" t="n"/>
      <c r="H30" s="39" t="n"/>
      <c r="I30" s="38" t="n"/>
      <c r="J30" s="40" t="n"/>
      <c r="K30" s="40" t="n"/>
      <c r="L30" s="41" t="n"/>
      <c r="M30" s="41" t="n"/>
      <c r="N30" s="38" t="n"/>
      <c r="O30" s="38" t="n"/>
      <c r="P30" s="38" t="n"/>
      <c r="Q30" s="38">
        <f>IF(B30="","",IF(H30&lt;&gt;"","Inactive","Active"))</f>
        <v/>
      </c>
      <c r="R30" s="21" t="n"/>
    </row>
    <row r="31">
      <c r="A31" s="38" t="n"/>
      <c r="B31" s="38" t="n"/>
      <c r="C31" s="38" t="n"/>
      <c r="D31" s="38" t="n"/>
      <c r="E31" s="38" t="n"/>
      <c r="F31" s="38" t="n"/>
      <c r="G31" s="39" t="n"/>
      <c r="H31" s="39" t="n"/>
      <c r="I31" s="38" t="n"/>
      <c r="J31" s="40" t="n"/>
      <c r="K31" s="40" t="n"/>
      <c r="L31" s="41" t="n"/>
      <c r="M31" s="41" t="n"/>
      <c r="N31" s="38" t="n"/>
      <c r="O31" s="38" t="n"/>
      <c r="P31" s="38" t="n"/>
      <c r="Q31" s="38">
        <f>IF(B31="","",IF(H31&lt;&gt;"","Inactive","Active"))</f>
        <v/>
      </c>
      <c r="R31" s="21" t="n"/>
    </row>
    <row r="32">
      <c r="A32" s="38" t="n"/>
      <c r="B32" s="38" t="n"/>
      <c r="C32" s="38" t="n"/>
      <c r="D32" s="38" t="n"/>
      <c r="E32" s="38" t="n"/>
      <c r="F32" s="38" t="n"/>
      <c r="G32" s="39" t="n"/>
      <c r="H32" s="39" t="n"/>
      <c r="I32" s="38" t="n"/>
      <c r="J32" s="40" t="n"/>
      <c r="K32" s="40" t="n"/>
      <c r="L32" s="41" t="n"/>
      <c r="M32" s="41" t="n"/>
      <c r="N32" s="38" t="n"/>
      <c r="O32" s="38" t="n"/>
      <c r="P32" s="38" t="n"/>
      <c r="Q32" s="38">
        <f>IF(B32="","",IF(H32&lt;&gt;"","Inactive","Active"))</f>
        <v/>
      </c>
      <c r="R32" s="21" t="n"/>
    </row>
    <row r="33">
      <c r="A33" s="38" t="n"/>
      <c r="B33" s="38" t="n"/>
      <c r="C33" s="38" t="n"/>
      <c r="D33" s="38" t="n"/>
      <c r="E33" s="38" t="n"/>
      <c r="F33" s="38" t="n"/>
      <c r="G33" s="39" t="n"/>
      <c r="H33" s="39" t="n"/>
      <c r="I33" s="38" t="n"/>
      <c r="J33" s="40" t="n"/>
      <c r="K33" s="40" t="n"/>
      <c r="L33" s="41" t="n"/>
      <c r="M33" s="41" t="n"/>
      <c r="N33" s="38" t="n"/>
      <c r="O33" s="38" t="n"/>
      <c r="P33" s="38" t="n"/>
      <c r="Q33" s="38">
        <f>IF(B33="","",IF(H33&lt;&gt;"","Inactive","Active"))</f>
        <v/>
      </c>
      <c r="R33" s="21" t="n"/>
    </row>
    <row r="34">
      <c r="A34" s="38" t="n"/>
      <c r="B34" s="38" t="n"/>
      <c r="C34" s="38" t="n"/>
      <c r="D34" s="38" t="n"/>
      <c r="E34" s="38" t="n"/>
      <c r="F34" s="38" t="n"/>
      <c r="G34" s="39" t="n"/>
      <c r="H34" s="39" t="n"/>
      <c r="I34" s="38" t="n"/>
      <c r="J34" s="40" t="n"/>
      <c r="K34" s="40" t="n"/>
      <c r="L34" s="41" t="n"/>
      <c r="M34" s="41" t="n"/>
      <c r="N34" s="38" t="n"/>
      <c r="O34" s="38" t="n"/>
      <c r="P34" s="38" t="n"/>
      <c r="Q34" s="38">
        <f>IF(B34="","",IF(H34&lt;&gt;"","Inactive","Active"))</f>
        <v/>
      </c>
      <c r="R34" s="21" t="n"/>
    </row>
    <row r="35">
      <c r="A35" s="38" t="n"/>
      <c r="B35" s="38" t="n"/>
      <c r="C35" s="38" t="n"/>
      <c r="D35" s="38" t="n"/>
      <c r="E35" s="38" t="n"/>
      <c r="F35" s="38" t="n"/>
      <c r="G35" s="39" t="n"/>
      <c r="H35" s="39" t="n"/>
      <c r="I35" s="38" t="n"/>
      <c r="J35" s="40" t="n"/>
      <c r="K35" s="40" t="n"/>
      <c r="L35" s="41" t="n"/>
      <c r="M35" s="41" t="n"/>
      <c r="N35" s="38" t="n"/>
      <c r="O35" s="38" t="n"/>
      <c r="P35" s="38" t="n"/>
      <c r="Q35" s="38">
        <f>IF(B35="","",IF(H35&lt;&gt;"","Inactive","Active"))</f>
        <v/>
      </c>
      <c r="R35" s="21" t="n"/>
    </row>
    <row r="36">
      <c r="A36" s="38" t="n"/>
      <c r="B36" s="38" t="n"/>
      <c r="C36" s="38" t="n"/>
      <c r="D36" s="38" t="n"/>
      <c r="E36" s="38" t="n"/>
      <c r="F36" s="38" t="n"/>
      <c r="G36" s="39" t="n"/>
      <c r="H36" s="39" t="n"/>
      <c r="I36" s="38" t="n"/>
      <c r="J36" s="40" t="n"/>
      <c r="K36" s="40" t="n"/>
      <c r="L36" s="41" t="n"/>
      <c r="M36" s="41" t="n"/>
      <c r="N36" s="38" t="n"/>
      <c r="O36" s="38" t="n"/>
      <c r="P36" s="38" t="n"/>
      <c r="Q36" s="38">
        <f>IF(B36="","",IF(H36&lt;&gt;"","Inactive","Active"))</f>
        <v/>
      </c>
      <c r="R36" s="21" t="n"/>
    </row>
    <row r="37">
      <c r="A37" s="38" t="n"/>
      <c r="B37" s="38" t="n"/>
      <c r="C37" s="38" t="n"/>
      <c r="D37" s="38" t="n"/>
      <c r="E37" s="38" t="n"/>
      <c r="F37" s="38" t="n"/>
      <c r="G37" s="39" t="n"/>
      <c r="H37" s="39" t="n"/>
      <c r="I37" s="38" t="n"/>
      <c r="J37" s="40" t="n"/>
      <c r="K37" s="40" t="n"/>
      <c r="L37" s="41" t="n"/>
      <c r="M37" s="41" t="n"/>
      <c r="N37" s="38" t="n"/>
      <c r="O37" s="38" t="n"/>
      <c r="P37" s="38" t="n"/>
      <c r="Q37" s="38">
        <f>IF(B37="","",IF(H37&lt;&gt;"","Inactive","Active"))</f>
        <v/>
      </c>
      <c r="R37" s="21" t="n"/>
    </row>
    <row r="38">
      <c r="A38" s="38" t="n"/>
      <c r="B38" s="38" t="n"/>
      <c r="C38" s="38" t="n"/>
      <c r="D38" s="38" t="n"/>
      <c r="E38" s="38" t="n"/>
      <c r="F38" s="38" t="n"/>
      <c r="G38" s="39" t="n"/>
      <c r="H38" s="39" t="n"/>
      <c r="I38" s="38" t="n"/>
      <c r="J38" s="40" t="n"/>
      <c r="K38" s="40" t="n"/>
      <c r="L38" s="41" t="n"/>
      <c r="M38" s="41" t="n"/>
      <c r="N38" s="38" t="n"/>
      <c r="O38" s="38" t="n"/>
      <c r="P38" s="38" t="n"/>
      <c r="Q38" s="38">
        <f>IF(B38="","",IF(H38&lt;&gt;"","Inactive","Active"))</f>
        <v/>
      </c>
      <c r="R38" s="21" t="n"/>
    </row>
    <row r="39">
      <c r="A39" s="38" t="n"/>
      <c r="B39" s="38" t="n"/>
      <c r="C39" s="38" t="n"/>
      <c r="D39" s="38" t="n"/>
      <c r="E39" s="38" t="n"/>
      <c r="F39" s="38" t="n"/>
      <c r="G39" s="39" t="n"/>
      <c r="H39" s="39" t="n"/>
      <c r="I39" s="38" t="n"/>
      <c r="J39" s="40" t="n"/>
      <c r="K39" s="40" t="n"/>
      <c r="L39" s="41" t="n"/>
      <c r="M39" s="41" t="n"/>
      <c r="N39" s="38" t="n"/>
      <c r="O39" s="38" t="n"/>
      <c r="P39" s="38" t="n"/>
      <c r="Q39" s="38">
        <f>IF(B39="","",IF(H39&lt;&gt;"","Inactive","Active"))</f>
        <v/>
      </c>
      <c r="R39" s="21" t="n"/>
    </row>
    <row r="40">
      <c r="A40" s="38" t="n"/>
      <c r="B40" s="38" t="n"/>
      <c r="C40" s="38" t="n"/>
      <c r="D40" s="38" t="n"/>
      <c r="E40" s="38" t="n"/>
      <c r="F40" s="38" t="n"/>
      <c r="G40" s="39" t="n"/>
      <c r="H40" s="39" t="n"/>
      <c r="I40" s="38" t="n"/>
      <c r="J40" s="40" t="n"/>
      <c r="K40" s="40" t="n"/>
      <c r="L40" s="41" t="n"/>
      <c r="M40" s="41" t="n"/>
      <c r="N40" s="38" t="n"/>
      <c r="O40" s="38" t="n"/>
      <c r="P40" s="38" t="n"/>
      <c r="Q40" s="38">
        <f>IF(B40="","",IF(H40&lt;&gt;"","Inactive","Active"))</f>
        <v/>
      </c>
      <c r="R40" s="21" t="n"/>
    </row>
    <row r="41">
      <c r="A41" s="38" t="n"/>
      <c r="B41" s="38" t="n"/>
      <c r="C41" s="38" t="n"/>
      <c r="D41" s="38" t="n"/>
      <c r="E41" s="38" t="n"/>
      <c r="F41" s="38" t="n"/>
      <c r="G41" s="39" t="n"/>
      <c r="H41" s="39" t="n"/>
      <c r="I41" s="38" t="n"/>
      <c r="J41" s="40" t="n"/>
      <c r="K41" s="40" t="n"/>
      <c r="L41" s="41" t="n"/>
      <c r="M41" s="41" t="n"/>
      <c r="N41" s="38" t="n"/>
      <c r="O41" s="38" t="n"/>
      <c r="P41" s="38" t="n"/>
      <c r="Q41" s="38">
        <f>IF(B41="","",IF(H41&lt;&gt;"","Inactive","Active"))</f>
        <v/>
      </c>
      <c r="R41" s="21" t="n"/>
    </row>
    <row r="42">
      <c r="A42" s="38" t="n"/>
      <c r="B42" s="38" t="n"/>
      <c r="C42" s="38" t="n"/>
      <c r="D42" s="38" t="n"/>
      <c r="E42" s="38" t="n"/>
      <c r="F42" s="38" t="n"/>
      <c r="G42" s="39" t="n"/>
      <c r="H42" s="39" t="n"/>
      <c r="I42" s="38" t="n"/>
      <c r="J42" s="40" t="n"/>
      <c r="K42" s="40" t="n"/>
      <c r="L42" s="41" t="n"/>
      <c r="M42" s="41" t="n"/>
      <c r="N42" s="38" t="n"/>
      <c r="O42" s="38" t="n"/>
      <c r="P42" s="38" t="n"/>
      <c r="Q42" s="38">
        <f>IF(B42="","",IF(H42&lt;&gt;"","Inactive","Active"))</f>
        <v/>
      </c>
      <c r="R42" s="21" t="n"/>
    </row>
    <row r="43">
      <c r="A43" s="38" t="n"/>
      <c r="B43" s="38" t="n"/>
      <c r="C43" s="38" t="n"/>
      <c r="D43" s="38" t="n"/>
      <c r="E43" s="38" t="n"/>
      <c r="F43" s="38" t="n"/>
      <c r="G43" s="39" t="n"/>
      <c r="H43" s="39" t="n"/>
      <c r="I43" s="38" t="n"/>
      <c r="J43" s="40" t="n"/>
      <c r="K43" s="40" t="n"/>
      <c r="L43" s="41" t="n"/>
      <c r="M43" s="41" t="n"/>
      <c r="N43" s="38" t="n"/>
      <c r="O43" s="38" t="n"/>
      <c r="P43" s="38" t="n"/>
      <c r="Q43" s="38">
        <f>IF(B43="","",IF(H43&lt;&gt;"","Inactive","Active"))</f>
        <v/>
      </c>
      <c r="R43" s="21" t="n"/>
    </row>
    <row r="44">
      <c r="A44" s="38" t="n"/>
      <c r="B44" s="38" t="n"/>
      <c r="C44" s="38" t="n"/>
      <c r="D44" s="38" t="n"/>
      <c r="E44" s="38" t="n"/>
      <c r="F44" s="38" t="n"/>
      <c r="G44" s="39" t="n"/>
      <c r="H44" s="39" t="n"/>
      <c r="I44" s="38" t="n"/>
      <c r="J44" s="40" t="n"/>
      <c r="K44" s="40" t="n"/>
      <c r="L44" s="41" t="n"/>
      <c r="M44" s="41" t="n"/>
      <c r="N44" s="38" t="n"/>
      <c r="O44" s="38" t="n"/>
      <c r="P44" s="38" t="n"/>
      <c r="Q44" s="38">
        <f>IF(B44="","",IF(H44&lt;&gt;"","Inactive","Active"))</f>
        <v/>
      </c>
      <c r="R44" s="21" t="n"/>
    </row>
    <row r="45">
      <c r="A45" s="38" t="n"/>
      <c r="B45" s="38" t="n"/>
      <c r="C45" s="38" t="n"/>
      <c r="D45" s="38" t="n"/>
      <c r="E45" s="38" t="n"/>
      <c r="F45" s="38" t="n"/>
      <c r="G45" s="39" t="n"/>
      <c r="H45" s="39" t="n"/>
      <c r="I45" s="38" t="n"/>
      <c r="J45" s="40" t="n"/>
      <c r="K45" s="40" t="n"/>
      <c r="L45" s="41" t="n"/>
      <c r="M45" s="41" t="n"/>
      <c r="N45" s="38" t="n"/>
      <c r="O45" s="38" t="n"/>
      <c r="P45" s="38" t="n"/>
      <c r="Q45" s="38">
        <f>IF(B45="","",IF(H45&lt;&gt;"","Inactive","Active"))</f>
        <v/>
      </c>
      <c r="R45" s="21" t="n"/>
    </row>
    <row r="46">
      <c r="A46" s="38" t="n"/>
      <c r="B46" s="38" t="n"/>
      <c r="C46" s="38" t="n"/>
      <c r="D46" s="38" t="n"/>
      <c r="E46" s="38" t="n"/>
      <c r="F46" s="38" t="n"/>
      <c r="G46" s="39" t="n"/>
      <c r="H46" s="39" t="n"/>
      <c r="I46" s="38" t="n"/>
      <c r="J46" s="40" t="n"/>
      <c r="K46" s="40" t="n"/>
      <c r="L46" s="41" t="n"/>
      <c r="M46" s="41" t="n"/>
      <c r="N46" s="38" t="n"/>
      <c r="O46" s="38" t="n"/>
      <c r="P46" s="38" t="n"/>
      <c r="Q46" s="38">
        <f>IF(B46="","",IF(H46&lt;&gt;"","Inactive","Active"))</f>
        <v/>
      </c>
      <c r="R46" s="21" t="n"/>
    </row>
    <row r="47">
      <c r="A47" s="38" t="n"/>
      <c r="B47" s="38" t="n"/>
      <c r="C47" s="38" t="n"/>
      <c r="D47" s="38" t="n"/>
      <c r="E47" s="38" t="n"/>
      <c r="F47" s="38" t="n"/>
      <c r="G47" s="39" t="n"/>
      <c r="H47" s="39" t="n"/>
      <c r="I47" s="38" t="n"/>
      <c r="J47" s="40" t="n"/>
      <c r="K47" s="40" t="n"/>
      <c r="L47" s="41" t="n"/>
      <c r="M47" s="41" t="n"/>
      <c r="N47" s="38" t="n"/>
      <c r="O47" s="38" t="n"/>
      <c r="P47" s="38" t="n"/>
      <c r="Q47" s="38">
        <f>IF(B47="","",IF(H47&lt;&gt;"","Inactive","Active"))</f>
        <v/>
      </c>
      <c r="R47" s="21" t="n"/>
    </row>
    <row r="48">
      <c r="A48" s="38" t="n"/>
      <c r="B48" s="38" t="n"/>
      <c r="C48" s="38" t="n"/>
      <c r="D48" s="38" t="n"/>
      <c r="E48" s="38" t="n"/>
      <c r="F48" s="38" t="n"/>
      <c r="G48" s="39" t="n"/>
      <c r="H48" s="39" t="n"/>
      <c r="I48" s="38" t="n"/>
      <c r="J48" s="40" t="n"/>
      <c r="K48" s="40" t="n"/>
      <c r="L48" s="41" t="n"/>
      <c r="M48" s="41" t="n"/>
      <c r="N48" s="38" t="n"/>
      <c r="O48" s="38" t="n"/>
      <c r="P48" s="38" t="n"/>
      <c r="Q48" s="38">
        <f>IF(B48="","",IF(H48&lt;&gt;"","Inactive","Active"))</f>
        <v/>
      </c>
      <c r="R48" s="21" t="n"/>
    </row>
    <row r="49">
      <c r="A49" s="38" t="n"/>
      <c r="B49" s="38" t="n"/>
      <c r="C49" s="38" t="n"/>
      <c r="D49" s="38" t="n"/>
      <c r="E49" s="38" t="n"/>
      <c r="F49" s="38" t="n"/>
      <c r="G49" s="39" t="n"/>
      <c r="H49" s="39" t="n"/>
      <c r="I49" s="38" t="n"/>
      <c r="J49" s="40" t="n"/>
      <c r="K49" s="40" t="n"/>
      <c r="L49" s="41" t="n"/>
      <c r="M49" s="41" t="n"/>
      <c r="N49" s="38" t="n"/>
      <c r="O49" s="38" t="n"/>
      <c r="P49" s="38" t="n"/>
      <c r="Q49" s="38">
        <f>IF(B49="","",IF(H49&lt;&gt;"","Inactive","Active"))</f>
        <v/>
      </c>
      <c r="R49" s="21" t="n"/>
    </row>
    <row r="50">
      <c r="A50" s="38" t="n"/>
      <c r="B50" s="38" t="n"/>
      <c r="C50" s="38" t="n"/>
      <c r="D50" s="38" t="n"/>
      <c r="E50" s="38" t="n"/>
      <c r="F50" s="38" t="n"/>
      <c r="G50" s="39" t="n"/>
      <c r="H50" s="39" t="n"/>
      <c r="I50" s="38" t="n"/>
      <c r="J50" s="40" t="n"/>
      <c r="K50" s="40" t="n"/>
      <c r="L50" s="41" t="n"/>
      <c r="M50" s="41" t="n"/>
      <c r="N50" s="38" t="n"/>
      <c r="O50" s="38" t="n"/>
      <c r="P50" s="38" t="n"/>
      <c r="Q50" s="38">
        <f>IF(B50="","",IF(H50&lt;&gt;"","Inactive","Active"))</f>
        <v/>
      </c>
      <c r="R50" s="21" t="n"/>
    </row>
    <row r="51">
      <c r="A51" s="38" t="n"/>
      <c r="B51" s="38" t="n"/>
      <c r="C51" s="38" t="n"/>
      <c r="D51" s="38" t="n"/>
      <c r="E51" s="38" t="n"/>
      <c r="F51" s="38" t="n"/>
      <c r="G51" s="39" t="n"/>
      <c r="H51" s="39" t="n"/>
      <c r="I51" s="38" t="n"/>
      <c r="J51" s="40" t="n"/>
      <c r="K51" s="40" t="n"/>
      <c r="L51" s="41" t="n"/>
      <c r="M51" s="41" t="n"/>
      <c r="N51" s="38" t="n"/>
      <c r="O51" s="38" t="n"/>
      <c r="P51" s="38" t="n"/>
      <c r="Q51" s="38">
        <f>IF(B51="","",IF(H51&lt;&gt;"","Inactive","Active"))</f>
        <v/>
      </c>
      <c r="R51" s="21" t="n"/>
    </row>
    <row r="52">
      <c r="A52" s="38" t="n"/>
      <c r="B52" s="38" t="n"/>
      <c r="C52" s="38" t="n"/>
      <c r="D52" s="38" t="n"/>
      <c r="E52" s="38" t="n"/>
      <c r="F52" s="38" t="n"/>
      <c r="G52" s="39" t="n"/>
      <c r="H52" s="39" t="n"/>
      <c r="I52" s="38" t="n"/>
      <c r="J52" s="40" t="n"/>
      <c r="K52" s="40" t="n"/>
      <c r="L52" s="41" t="n"/>
      <c r="M52" s="41" t="n"/>
      <c r="N52" s="38" t="n"/>
      <c r="O52" s="38" t="n"/>
      <c r="P52" s="38" t="n"/>
      <c r="Q52" s="38">
        <f>IF(B52="","",IF(H52&lt;&gt;"","Inactive","Active"))</f>
        <v/>
      </c>
      <c r="R52" s="21" t="n"/>
    </row>
    <row r="53">
      <c r="A53" s="38" t="n"/>
      <c r="B53" s="38" t="n"/>
      <c r="C53" s="38" t="n"/>
      <c r="D53" s="38" t="n"/>
      <c r="E53" s="38" t="n"/>
      <c r="F53" s="38" t="n"/>
      <c r="G53" s="39" t="n"/>
      <c r="H53" s="39" t="n"/>
      <c r="I53" s="38" t="n"/>
      <c r="J53" s="40" t="n"/>
      <c r="K53" s="40" t="n"/>
      <c r="L53" s="41" t="n"/>
      <c r="M53" s="41" t="n"/>
      <c r="N53" s="38" t="n"/>
      <c r="O53" s="38" t="n"/>
      <c r="P53" s="38" t="n"/>
      <c r="Q53" s="38">
        <f>IF(B53="","",IF(H53&lt;&gt;"","Inactive","Active"))</f>
        <v/>
      </c>
      <c r="R53" s="21" t="n"/>
    </row>
    <row r="54">
      <c r="A54" s="38" t="n"/>
      <c r="B54" s="38" t="n"/>
      <c r="C54" s="38" t="n"/>
      <c r="D54" s="38" t="n"/>
      <c r="E54" s="38" t="n"/>
      <c r="F54" s="38" t="n"/>
      <c r="G54" s="39" t="n"/>
      <c r="H54" s="39" t="n"/>
      <c r="I54" s="38" t="n"/>
      <c r="J54" s="40" t="n"/>
      <c r="K54" s="40" t="n"/>
      <c r="L54" s="41" t="n"/>
      <c r="M54" s="41" t="n"/>
      <c r="N54" s="38" t="n"/>
      <c r="O54" s="38" t="n"/>
      <c r="P54" s="38" t="n"/>
      <c r="Q54" s="38">
        <f>IF(B54="","",IF(H54&lt;&gt;"","Inactive","Active"))</f>
        <v/>
      </c>
      <c r="R54" s="21" t="n"/>
    </row>
    <row r="55">
      <c r="A55" s="38" t="n"/>
      <c r="B55" s="38" t="n"/>
      <c r="C55" s="38" t="n"/>
      <c r="D55" s="38" t="n"/>
      <c r="E55" s="38" t="n"/>
      <c r="F55" s="38" t="n"/>
      <c r="G55" s="39" t="n"/>
      <c r="H55" s="39" t="n"/>
      <c r="I55" s="38" t="n"/>
      <c r="J55" s="40" t="n"/>
      <c r="K55" s="40" t="n"/>
      <c r="L55" s="41" t="n"/>
      <c r="M55" s="41" t="n"/>
      <c r="N55" s="38" t="n"/>
      <c r="O55" s="38" t="n"/>
      <c r="P55" s="38" t="n"/>
      <c r="Q55" s="38">
        <f>IF(B55="","",IF(H55&lt;&gt;"","Inactive","Active"))</f>
        <v/>
      </c>
      <c r="R55" s="21" t="n"/>
    </row>
    <row r="56">
      <c r="A56" s="38" t="n"/>
      <c r="B56" s="38" t="n"/>
      <c r="C56" s="38" t="n"/>
      <c r="D56" s="38" t="n"/>
      <c r="E56" s="38" t="n"/>
      <c r="F56" s="38" t="n"/>
      <c r="G56" s="39" t="n"/>
      <c r="H56" s="39" t="n"/>
      <c r="I56" s="38" t="n"/>
      <c r="J56" s="40" t="n"/>
      <c r="K56" s="40" t="n"/>
      <c r="L56" s="41" t="n"/>
      <c r="M56" s="41" t="n"/>
      <c r="N56" s="38" t="n"/>
      <c r="O56" s="38" t="n"/>
      <c r="P56" s="38" t="n"/>
      <c r="Q56" s="38">
        <f>IF(B56="","",IF(H56&lt;&gt;"","Inactive","Active"))</f>
        <v/>
      </c>
      <c r="R56" s="21" t="n"/>
    </row>
    <row r="57">
      <c r="A57" s="38" t="n"/>
      <c r="B57" s="38" t="n"/>
      <c r="C57" s="38" t="n"/>
      <c r="D57" s="38" t="n"/>
      <c r="E57" s="38" t="n"/>
      <c r="F57" s="38" t="n"/>
      <c r="G57" s="39" t="n"/>
      <c r="H57" s="39" t="n"/>
      <c r="I57" s="38" t="n"/>
      <c r="J57" s="40" t="n"/>
      <c r="K57" s="40" t="n"/>
      <c r="L57" s="41" t="n"/>
      <c r="M57" s="41" t="n"/>
      <c r="N57" s="38" t="n"/>
      <c r="O57" s="38" t="n"/>
      <c r="P57" s="38" t="n"/>
      <c r="Q57" s="38">
        <f>IF(B57="","",IF(H57&lt;&gt;"","Inactive","Active"))</f>
        <v/>
      </c>
      <c r="R57" s="21" t="n"/>
    </row>
    <row r="58">
      <c r="A58" s="38" t="n"/>
      <c r="B58" s="38" t="n"/>
      <c r="C58" s="38" t="n"/>
      <c r="D58" s="38" t="n"/>
      <c r="E58" s="38" t="n"/>
      <c r="F58" s="38" t="n"/>
      <c r="G58" s="39" t="n"/>
      <c r="H58" s="39" t="n"/>
      <c r="I58" s="38" t="n"/>
      <c r="J58" s="40" t="n"/>
      <c r="K58" s="40" t="n"/>
      <c r="L58" s="41" t="n"/>
      <c r="M58" s="41" t="n"/>
      <c r="N58" s="38" t="n"/>
      <c r="O58" s="38" t="n"/>
      <c r="P58" s="38" t="n"/>
      <c r="Q58" s="38">
        <f>IF(B58="","",IF(H58&lt;&gt;"","Inactive","Active"))</f>
        <v/>
      </c>
      <c r="R58" s="21" t="n"/>
    </row>
    <row r="59">
      <c r="A59" s="38" t="n"/>
      <c r="B59" s="38" t="n"/>
      <c r="C59" s="38" t="n"/>
      <c r="D59" s="38" t="n"/>
      <c r="E59" s="38" t="n"/>
      <c r="F59" s="38" t="n"/>
      <c r="G59" s="39" t="n"/>
      <c r="H59" s="39" t="n"/>
      <c r="I59" s="38" t="n"/>
      <c r="J59" s="40" t="n"/>
      <c r="K59" s="40" t="n"/>
      <c r="L59" s="41" t="n"/>
      <c r="M59" s="41" t="n"/>
      <c r="N59" s="38" t="n"/>
      <c r="O59" s="38" t="n"/>
      <c r="P59" s="38" t="n"/>
      <c r="Q59" s="38">
        <f>IF(B59="","",IF(H59&lt;&gt;"","Inactive","Active"))</f>
        <v/>
      </c>
      <c r="R59" s="21" t="n"/>
    </row>
    <row r="60">
      <c r="A60" s="38" t="n"/>
      <c r="B60" s="38" t="n"/>
      <c r="C60" s="38" t="n"/>
      <c r="D60" s="38" t="n"/>
      <c r="E60" s="38" t="n"/>
      <c r="F60" s="38" t="n"/>
      <c r="G60" s="39" t="n"/>
      <c r="H60" s="39" t="n"/>
      <c r="I60" s="38" t="n"/>
      <c r="J60" s="40" t="n"/>
      <c r="K60" s="40" t="n"/>
      <c r="L60" s="41" t="n"/>
      <c r="M60" s="41" t="n"/>
      <c r="N60" s="38" t="n"/>
      <c r="O60" s="38" t="n"/>
      <c r="P60" s="38" t="n"/>
      <c r="Q60" s="38">
        <f>IF(B60="","",IF(H60&lt;&gt;"","Inactive","Active"))</f>
        <v/>
      </c>
      <c r="R60" s="21" t="n"/>
    </row>
    <row r="61">
      <c r="A61" s="38" t="n"/>
      <c r="B61" s="38" t="n"/>
      <c r="C61" s="38" t="n"/>
      <c r="D61" s="38" t="n"/>
      <c r="E61" s="38" t="n"/>
      <c r="F61" s="38" t="n"/>
      <c r="G61" s="39" t="n"/>
      <c r="H61" s="39" t="n"/>
      <c r="I61" s="38" t="n"/>
      <c r="J61" s="40" t="n"/>
      <c r="K61" s="40" t="n"/>
      <c r="L61" s="41" t="n"/>
      <c r="M61" s="41" t="n"/>
      <c r="N61" s="38" t="n"/>
      <c r="O61" s="38" t="n"/>
      <c r="P61" s="38" t="n"/>
      <c r="Q61" s="38">
        <f>IF(B61="","",IF(H61&lt;&gt;"","Inactive","Active"))</f>
        <v/>
      </c>
      <c r="R61" s="21" t="n"/>
    </row>
    <row r="62">
      <c r="A62" s="38" t="n"/>
      <c r="B62" s="38" t="n"/>
      <c r="C62" s="38" t="n"/>
      <c r="D62" s="38" t="n"/>
      <c r="E62" s="38" t="n"/>
      <c r="F62" s="38" t="n"/>
      <c r="G62" s="39" t="n"/>
      <c r="H62" s="39" t="n"/>
      <c r="I62" s="38" t="n"/>
      <c r="J62" s="40" t="n"/>
      <c r="K62" s="40" t="n"/>
      <c r="L62" s="41" t="n"/>
      <c r="M62" s="41" t="n"/>
      <c r="N62" s="38" t="n"/>
      <c r="O62" s="38" t="n"/>
      <c r="P62" s="38" t="n"/>
      <c r="Q62" s="38">
        <f>IF(B62="","",IF(H62&lt;&gt;"","Inactive","Active"))</f>
        <v/>
      </c>
      <c r="R62" s="21" t="n"/>
    </row>
    <row r="63">
      <c r="A63" s="38" t="n"/>
      <c r="B63" s="38" t="n"/>
      <c r="C63" s="38" t="n"/>
      <c r="D63" s="38" t="n"/>
      <c r="E63" s="38" t="n"/>
      <c r="F63" s="38" t="n"/>
      <c r="G63" s="39" t="n"/>
      <c r="H63" s="39" t="n"/>
      <c r="I63" s="38" t="n"/>
      <c r="J63" s="40" t="n"/>
      <c r="K63" s="40" t="n"/>
      <c r="L63" s="41" t="n"/>
      <c r="M63" s="41" t="n"/>
      <c r="N63" s="38" t="n"/>
      <c r="O63" s="38" t="n"/>
      <c r="P63" s="38" t="n"/>
      <c r="Q63" s="38">
        <f>IF(B63="","",IF(H63&lt;&gt;"","Inactive","Active"))</f>
        <v/>
      </c>
      <c r="R63" s="21" t="n"/>
    </row>
    <row r="64">
      <c r="A64" s="38" t="n"/>
      <c r="B64" s="38" t="n"/>
      <c r="C64" s="38" t="n"/>
      <c r="D64" s="38" t="n"/>
      <c r="E64" s="38" t="n"/>
      <c r="F64" s="38" t="n"/>
      <c r="G64" s="39" t="n"/>
      <c r="H64" s="39" t="n"/>
      <c r="I64" s="38" t="n"/>
      <c r="J64" s="40" t="n"/>
      <c r="K64" s="40" t="n"/>
      <c r="L64" s="41" t="n"/>
      <c r="M64" s="41" t="n"/>
      <c r="N64" s="38" t="n"/>
      <c r="O64" s="38" t="n"/>
      <c r="P64" s="38" t="n"/>
      <c r="Q64" s="38">
        <f>IF(B64="","",IF(H64&lt;&gt;"","Inactive","Active"))</f>
        <v/>
      </c>
      <c r="R64" s="21" t="n"/>
    </row>
    <row r="65">
      <c r="A65" s="38" t="n"/>
      <c r="B65" s="38" t="n"/>
      <c r="C65" s="38" t="n"/>
      <c r="D65" s="38" t="n"/>
      <c r="E65" s="38" t="n"/>
      <c r="F65" s="38" t="n"/>
      <c r="G65" s="39" t="n"/>
      <c r="H65" s="39" t="n"/>
      <c r="I65" s="38" t="n"/>
      <c r="J65" s="40" t="n"/>
      <c r="K65" s="40" t="n"/>
      <c r="L65" s="41" t="n"/>
      <c r="M65" s="41" t="n"/>
      <c r="N65" s="38" t="n"/>
      <c r="O65" s="38" t="n"/>
      <c r="P65" s="38" t="n"/>
      <c r="Q65" s="38">
        <f>IF(B65="","",IF(H65&lt;&gt;"","Inactive","Active"))</f>
        <v/>
      </c>
      <c r="R65" s="21" t="n"/>
    </row>
    <row r="66">
      <c r="A66" s="38" t="n"/>
      <c r="B66" s="38" t="n"/>
      <c r="C66" s="38" t="n"/>
      <c r="D66" s="38" t="n"/>
      <c r="E66" s="38" t="n"/>
      <c r="F66" s="38" t="n"/>
      <c r="G66" s="39" t="n"/>
      <c r="H66" s="39" t="n"/>
      <c r="I66" s="38" t="n"/>
      <c r="J66" s="40" t="n"/>
      <c r="K66" s="40" t="n"/>
      <c r="L66" s="41" t="n"/>
      <c r="M66" s="41" t="n"/>
      <c r="N66" s="38" t="n"/>
      <c r="O66" s="38" t="n"/>
      <c r="P66" s="38" t="n"/>
      <c r="Q66" s="38">
        <f>IF(B66="","",IF(H66&lt;&gt;"","Inactive","Active"))</f>
        <v/>
      </c>
      <c r="R66" s="21" t="n"/>
    </row>
    <row r="67">
      <c r="A67" s="38" t="n"/>
      <c r="B67" s="38" t="n"/>
      <c r="C67" s="38" t="n"/>
      <c r="D67" s="38" t="n"/>
      <c r="E67" s="38" t="n"/>
      <c r="F67" s="38" t="n"/>
      <c r="G67" s="39" t="n"/>
      <c r="H67" s="39" t="n"/>
      <c r="I67" s="38" t="n"/>
      <c r="J67" s="40" t="n"/>
      <c r="K67" s="40" t="n"/>
      <c r="L67" s="41" t="n"/>
      <c r="M67" s="41" t="n"/>
      <c r="N67" s="38" t="n"/>
      <c r="O67" s="38" t="n"/>
      <c r="P67" s="38" t="n"/>
      <c r="Q67" s="38">
        <f>IF(B67="","",IF(H67&lt;&gt;"","Inactive","Active"))</f>
        <v/>
      </c>
      <c r="R67" s="21" t="n"/>
    </row>
    <row r="68">
      <c r="A68" s="38" t="n"/>
      <c r="B68" s="38" t="n"/>
      <c r="C68" s="38" t="n"/>
      <c r="D68" s="38" t="n"/>
      <c r="E68" s="38" t="n"/>
      <c r="F68" s="38" t="n"/>
      <c r="G68" s="39" t="n"/>
      <c r="H68" s="39" t="n"/>
      <c r="I68" s="38" t="n"/>
      <c r="J68" s="40" t="n"/>
      <c r="K68" s="40" t="n"/>
      <c r="L68" s="41" t="n"/>
      <c r="M68" s="41" t="n"/>
      <c r="N68" s="38" t="n"/>
      <c r="O68" s="38" t="n"/>
      <c r="P68" s="38" t="n"/>
      <c r="Q68" s="38">
        <f>IF(B68="","",IF(H68&lt;&gt;"","Inactive","Active"))</f>
        <v/>
      </c>
      <c r="R68" s="21" t="n"/>
    </row>
    <row r="69">
      <c r="A69" s="38" t="n"/>
      <c r="B69" s="38" t="n"/>
      <c r="C69" s="38" t="n"/>
      <c r="D69" s="38" t="n"/>
      <c r="E69" s="38" t="n"/>
      <c r="F69" s="38" t="n"/>
      <c r="G69" s="39" t="n"/>
      <c r="H69" s="39" t="n"/>
      <c r="I69" s="38" t="n"/>
      <c r="J69" s="40" t="n"/>
      <c r="K69" s="40" t="n"/>
      <c r="L69" s="41" t="n"/>
      <c r="M69" s="41" t="n"/>
      <c r="N69" s="38" t="n"/>
      <c r="O69" s="38" t="n"/>
      <c r="P69" s="38" t="n"/>
      <c r="Q69" s="38">
        <f>IF(B69="","",IF(H69&lt;&gt;"","Inactive","Active"))</f>
        <v/>
      </c>
      <c r="R69" s="21" t="n"/>
    </row>
    <row r="70">
      <c r="A70" s="38" t="n"/>
      <c r="B70" s="38" t="n"/>
      <c r="C70" s="38" t="n"/>
      <c r="D70" s="38" t="n"/>
      <c r="E70" s="38" t="n"/>
      <c r="F70" s="38" t="n"/>
      <c r="G70" s="39" t="n"/>
      <c r="H70" s="39" t="n"/>
      <c r="I70" s="38" t="n"/>
      <c r="J70" s="40" t="n"/>
      <c r="K70" s="40" t="n"/>
      <c r="L70" s="41" t="n"/>
      <c r="M70" s="41" t="n"/>
      <c r="N70" s="38" t="n"/>
      <c r="O70" s="38" t="n"/>
      <c r="P70" s="38" t="n"/>
      <c r="Q70" s="38">
        <f>IF(B70="","",IF(H70&lt;&gt;"","Inactive","Active"))</f>
        <v/>
      </c>
      <c r="R70" s="21" t="n"/>
    </row>
    <row r="71">
      <c r="A71" s="38" t="n"/>
      <c r="B71" s="38" t="n"/>
      <c r="C71" s="38" t="n"/>
      <c r="D71" s="38" t="n"/>
      <c r="E71" s="38" t="n"/>
      <c r="F71" s="38" t="n"/>
      <c r="G71" s="39" t="n"/>
      <c r="H71" s="39" t="n"/>
      <c r="I71" s="38" t="n"/>
      <c r="J71" s="40" t="n"/>
      <c r="K71" s="40" t="n"/>
      <c r="L71" s="41" t="n"/>
      <c r="M71" s="41" t="n"/>
      <c r="N71" s="38" t="n"/>
      <c r="O71" s="38" t="n"/>
      <c r="P71" s="38" t="n"/>
      <c r="Q71" s="38">
        <f>IF(B71="","",IF(H71&lt;&gt;"","Inactive","Active"))</f>
        <v/>
      </c>
      <c r="R71" s="21" t="n"/>
    </row>
    <row r="72">
      <c r="A72" s="38" t="n"/>
      <c r="B72" s="38" t="n"/>
      <c r="C72" s="38" t="n"/>
      <c r="D72" s="38" t="n"/>
      <c r="E72" s="38" t="n"/>
      <c r="F72" s="38" t="n"/>
      <c r="G72" s="39" t="n"/>
      <c r="H72" s="39" t="n"/>
      <c r="I72" s="38" t="n"/>
      <c r="J72" s="40" t="n"/>
      <c r="K72" s="40" t="n"/>
      <c r="L72" s="41" t="n"/>
      <c r="M72" s="41" t="n"/>
      <c r="N72" s="38" t="n"/>
      <c r="O72" s="38" t="n"/>
      <c r="P72" s="38" t="n"/>
      <c r="Q72" s="38">
        <f>IF(B72="","",IF(H72&lt;&gt;"","Inactive","Active"))</f>
        <v/>
      </c>
      <c r="R72" s="21" t="n"/>
    </row>
    <row r="73">
      <c r="A73" s="38" t="n"/>
      <c r="B73" s="38" t="n"/>
      <c r="C73" s="38" t="n"/>
      <c r="D73" s="38" t="n"/>
      <c r="E73" s="38" t="n"/>
      <c r="F73" s="38" t="n"/>
      <c r="G73" s="39" t="n"/>
      <c r="H73" s="39" t="n"/>
      <c r="I73" s="38" t="n"/>
      <c r="J73" s="40" t="n"/>
      <c r="K73" s="40" t="n"/>
      <c r="L73" s="41" t="n"/>
      <c r="M73" s="41" t="n"/>
      <c r="N73" s="38" t="n"/>
      <c r="O73" s="38" t="n"/>
      <c r="P73" s="38" t="n"/>
      <c r="Q73" s="38">
        <f>IF(B73="","",IF(H73&lt;&gt;"","Inactive","Active"))</f>
        <v/>
      </c>
      <c r="R73" s="21" t="n"/>
    </row>
    <row r="74">
      <c r="A74" s="38" t="n"/>
      <c r="B74" s="38" t="n"/>
      <c r="C74" s="38" t="n"/>
      <c r="D74" s="38" t="n"/>
      <c r="E74" s="38" t="n"/>
      <c r="F74" s="38" t="n"/>
      <c r="G74" s="39" t="n"/>
      <c r="H74" s="39" t="n"/>
      <c r="I74" s="38" t="n"/>
      <c r="J74" s="40" t="n"/>
      <c r="K74" s="40" t="n"/>
      <c r="L74" s="41" t="n"/>
      <c r="M74" s="41" t="n"/>
      <c r="N74" s="38" t="n"/>
      <c r="O74" s="38" t="n"/>
      <c r="P74" s="38" t="n"/>
      <c r="Q74" s="38">
        <f>IF(B74="","",IF(H74&lt;&gt;"","Inactive","Active"))</f>
        <v/>
      </c>
      <c r="R74" s="21" t="n"/>
    </row>
    <row r="75">
      <c r="A75" s="38" t="n"/>
      <c r="B75" s="38" t="n"/>
      <c r="C75" s="38" t="n"/>
      <c r="D75" s="38" t="n"/>
      <c r="E75" s="38" t="n"/>
      <c r="F75" s="38" t="n"/>
      <c r="G75" s="39" t="n"/>
      <c r="H75" s="39" t="n"/>
      <c r="I75" s="38" t="n"/>
      <c r="J75" s="40" t="n"/>
      <c r="K75" s="40" t="n"/>
      <c r="L75" s="41" t="n"/>
      <c r="M75" s="41" t="n"/>
      <c r="N75" s="38" t="n"/>
      <c r="O75" s="38" t="n"/>
      <c r="P75" s="38" t="n"/>
      <c r="Q75" s="38">
        <f>IF(B75="","",IF(H75&lt;&gt;"","Inactive","Active"))</f>
        <v/>
      </c>
      <c r="R75" s="21" t="n"/>
    </row>
    <row r="76">
      <c r="A76" s="38" t="n"/>
      <c r="B76" s="38" t="n"/>
      <c r="C76" s="38" t="n"/>
      <c r="D76" s="38" t="n"/>
      <c r="E76" s="38" t="n"/>
      <c r="F76" s="38" t="n"/>
      <c r="G76" s="39" t="n"/>
      <c r="H76" s="39" t="n"/>
      <c r="I76" s="38" t="n"/>
      <c r="J76" s="40" t="n"/>
      <c r="K76" s="40" t="n"/>
      <c r="L76" s="41" t="n"/>
      <c r="M76" s="41" t="n"/>
      <c r="N76" s="38" t="n"/>
      <c r="O76" s="38" t="n"/>
      <c r="P76" s="38" t="n"/>
      <c r="Q76" s="38">
        <f>IF(B76="","",IF(H76&lt;&gt;"","Inactive","Active"))</f>
        <v/>
      </c>
      <c r="R76" s="21" t="n"/>
    </row>
    <row r="77">
      <c r="A77" s="38" t="n"/>
      <c r="B77" s="38" t="n"/>
      <c r="C77" s="38" t="n"/>
      <c r="D77" s="38" t="n"/>
      <c r="E77" s="38" t="n"/>
      <c r="F77" s="38" t="n"/>
      <c r="G77" s="39" t="n"/>
      <c r="H77" s="39" t="n"/>
      <c r="I77" s="38" t="n"/>
      <c r="J77" s="40" t="n"/>
      <c r="K77" s="40" t="n"/>
      <c r="L77" s="41" t="n"/>
      <c r="M77" s="41" t="n"/>
      <c r="N77" s="38" t="n"/>
      <c r="O77" s="38" t="n"/>
      <c r="P77" s="38" t="n"/>
      <c r="Q77" s="38">
        <f>IF(B77="","",IF(H77&lt;&gt;"","Inactive","Active"))</f>
        <v/>
      </c>
      <c r="R77" s="21" t="n"/>
    </row>
    <row r="78">
      <c r="A78" s="38" t="n"/>
      <c r="B78" s="38" t="n"/>
      <c r="C78" s="38" t="n"/>
      <c r="D78" s="38" t="n"/>
      <c r="E78" s="38" t="n"/>
      <c r="F78" s="38" t="n"/>
      <c r="G78" s="39" t="n"/>
      <c r="H78" s="39" t="n"/>
      <c r="I78" s="38" t="n"/>
      <c r="J78" s="40" t="n"/>
      <c r="K78" s="40" t="n"/>
      <c r="L78" s="41" t="n"/>
      <c r="M78" s="41" t="n"/>
      <c r="N78" s="38" t="n"/>
      <c r="O78" s="38" t="n"/>
      <c r="P78" s="38" t="n"/>
      <c r="Q78" s="38">
        <f>IF(B78="","",IF(H78&lt;&gt;"","Inactive","Active"))</f>
        <v/>
      </c>
      <c r="R78" s="21" t="n"/>
    </row>
    <row r="79">
      <c r="A79" s="38" t="n"/>
      <c r="B79" s="38" t="n"/>
      <c r="C79" s="38" t="n"/>
      <c r="D79" s="38" t="n"/>
      <c r="E79" s="38" t="n"/>
      <c r="F79" s="38" t="n"/>
      <c r="G79" s="39" t="n"/>
      <c r="H79" s="39" t="n"/>
      <c r="I79" s="38" t="n"/>
      <c r="J79" s="40" t="n"/>
      <c r="K79" s="40" t="n"/>
      <c r="L79" s="41" t="n"/>
      <c r="M79" s="41" t="n"/>
      <c r="N79" s="38" t="n"/>
      <c r="O79" s="38" t="n"/>
      <c r="P79" s="38" t="n"/>
      <c r="Q79" s="38">
        <f>IF(B79="","",IF(H79&lt;&gt;"","Inactive","Active"))</f>
        <v/>
      </c>
      <c r="R79" s="21" t="n"/>
    </row>
    <row r="80">
      <c r="A80" s="38" t="n"/>
      <c r="B80" s="38" t="n"/>
      <c r="C80" s="38" t="n"/>
      <c r="D80" s="38" t="n"/>
      <c r="E80" s="38" t="n"/>
      <c r="F80" s="38" t="n"/>
      <c r="G80" s="39" t="n"/>
      <c r="H80" s="39" t="n"/>
      <c r="I80" s="38" t="n"/>
      <c r="J80" s="40" t="n"/>
      <c r="K80" s="40" t="n"/>
      <c r="L80" s="41" t="n"/>
      <c r="M80" s="41" t="n"/>
      <c r="N80" s="38" t="n"/>
      <c r="O80" s="38" t="n"/>
      <c r="P80" s="38" t="n"/>
      <c r="Q80" s="38">
        <f>IF(B80="","",IF(H80&lt;&gt;"","Inactive","Active"))</f>
        <v/>
      </c>
      <c r="R80" s="21" t="n"/>
    </row>
    <row r="81">
      <c r="A81" s="38" t="n"/>
      <c r="B81" s="38" t="n"/>
      <c r="C81" s="38" t="n"/>
      <c r="D81" s="38" t="n"/>
      <c r="E81" s="38" t="n"/>
      <c r="F81" s="38" t="n"/>
      <c r="G81" s="39" t="n"/>
      <c r="H81" s="39" t="n"/>
      <c r="I81" s="38" t="n"/>
      <c r="J81" s="40" t="n"/>
      <c r="K81" s="40" t="n"/>
      <c r="L81" s="41" t="n"/>
      <c r="M81" s="41" t="n"/>
      <c r="N81" s="38" t="n"/>
      <c r="O81" s="38" t="n"/>
      <c r="P81" s="38" t="n"/>
      <c r="Q81" s="38">
        <f>IF(B81="","",IF(H81&lt;&gt;"","Inactive","Active"))</f>
        <v/>
      </c>
      <c r="R81" s="21" t="n"/>
    </row>
    <row r="82">
      <c r="A82" s="38" t="n"/>
      <c r="B82" s="38" t="n"/>
      <c r="C82" s="38" t="n"/>
      <c r="D82" s="38" t="n"/>
      <c r="E82" s="38" t="n"/>
      <c r="F82" s="38" t="n"/>
      <c r="G82" s="39" t="n"/>
      <c r="H82" s="39" t="n"/>
      <c r="I82" s="38" t="n"/>
      <c r="J82" s="40" t="n"/>
      <c r="K82" s="40" t="n"/>
      <c r="L82" s="41" t="n"/>
      <c r="M82" s="41" t="n"/>
      <c r="N82" s="38" t="n"/>
      <c r="O82" s="38" t="n"/>
      <c r="P82" s="38" t="n"/>
      <c r="Q82" s="38">
        <f>IF(B82="","",IF(H82&lt;&gt;"","Inactive","Active"))</f>
        <v/>
      </c>
      <c r="R82" s="21" t="n"/>
    </row>
    <row r="83">
      <c r="A83" s="38" t="n"/>
      <c r="B83" s="38" t="n"/>
      <c r="C83" s="38" t="n"/>
      <c r="D83" s="38" t="n"/>
      <c r="E83" s="38" t="n"/>
      <c r="F83" s="38" t="n"/>
      <c r="G83" s="39" t="n"/>
      <c r="H83" s="39" t="n"/>
      <c r="I83" s="38" t="n"/>
      <c r="J83" s="40" t="n"/>
      <c r="K83" s="40" t="n"/>
      <c r="L83" s="41" t="n"/>
      <c r="M83" s="41" t="n"/>
      <c r="N83" s="38" t="n"/>
      <c r="O83" s="38" t="n"/>
      <c r="P83" s="38" t="n"/>
      <c r="Q83" s="38">
        <f>IF(B83="","",IF(H83&lt;&gt;"","Inactive","Active"))</f>
        <v/>
      </c>
      <c r="R83" s="21" t="n"/>
    </row>
    <row r="84">
      <c r="A84" s="38" t="n"/>
      <c r="B84" s="38" t="n"/>
      <c r="C84" s="38" t="n"/>
      <c r="D84" s="38" t="n"/>
      <c r="E84" s="38" t="n"/>
      <c r="F84" s="38" t="n"/>
      <c r="G84" s="39" t="n"/>
      <c r="H84" s="39" t="n"/>
      <c r="I84" s="38" t="n"/>
      <c r="J84" s="40" t="n"/>
      <c r="K84" s="40" t="n"/>
      <c r="L84" s="41" t="n"/>
      <c r="M84" s="41" t="n"/>
      <c r="N84" s="38" t="n"/>
      <c r="O84" s="38" t="n"/>
      <c r="P84" s="38" t="n"/>
      <c r="Q84" s="38">
        <f>IF(B84="","",IF(H84&lt;&gt;"","Inactive","Active"))</f>
        <v/>
      </c>
      <c r="R84" s="21" t="n"/>
    </row>
    <row r="85">
      <c r="A85" s="38" t="n"/>
      <c r="B85" s="38" t="n"/>
      <c r="C85" s="38" t="n"/>
      <c r="D85" s="38" t="n"/>
      <c r="E85" s="38" t="n"/>
      <c r="F85" s="38" t="n"/>
      <c r="G85" s="39" t="n"/>
      <c r="H85" s="39" t="n"/>
      <c r="I85" s="38" t="n"/>
      <c r="J85" s="40" t="n"/>
      <c r="K85" s="40" t="n"/>
      <c r="L85" s="41" t="n"/>
      <c r="M85" s="41" t="n"/>
      <c r="N85" s="38" t="n"/>
      <c r="O85" s="38" t="n"/>
      <c r="P85" s="38" t="n"/>
      <c r="Q85" s="38">
        <f>IF(B85="","",IF(H85&lt;&gt;"","Inactive","Active"))</f>
        <v/>
      </c>
      <c r="R85" s="21" t="n"/>
    </row>
    <row r="86">
      <c r="A86" s="38" t="n"/>
      <c r="B86" s="38" t="n"/>
      <c r="C86" s="38" t="n"/>
      <c r="D86" s="38" t="n"/>
      <c r="E86" s="38" t="n"/>
      <c r="F86" s="38" t="n"/>
      <c r="G86" s="39" t="n"/>
      <c r="H86" s="39" t="n"/>
      <c r="I86" s="38" t="n"/>
      <c r="J86" s="40" t="n"/>
      <c r="K86" s="40" t="n"/>
      <c r="L86" s="41" t="n"/>
      <c r="M86" s="41" t="n"/>
      <c r="N86" s="38" t="n"/>
      <c r="O86" s="38" t="n"/>
      <c r="P86" s="38" t="n"/>
      <c r="Q86" s="38">
        <f>IF(B86="","",IF(H86&lt;&gt;"","Inactive","Active"))</f>
        <v/>
      </c>
      <c r="R86" s="21" t="n"/>
    </row>
    <row r="87">
      <c r="A87" s="38" t="n"/>
      <c r="B87" s="38" t="n"/>
      <c r="C87" s="38" t="n"/>
      <c r="D87" s="38" t="n"/>
      <c r="E87" s="38" t="n"/>
      <c r="F87" s="38" t="n"/>
      <c r="G87" s="39" t="n"/>
      <c r="H87" s="39" t="n"/>
      <c r="I87" s="38" t="n"/>
      <c r="J87" s="40" t="n"/>
      <c r="K87" s="40" t="n"/>
      <c r="L87" s="41" t="n"/>
      <c r="M87" s="41" t="n"/>
      <c r="N87" s="38" t="n"/>
      <c r="O87" s="38" t="n"/>
      <c r="P87" s="38" t="n"/>
      <c r="Q87" s="38">
        <f>IF(B87="","",IF(H87&lt;&gt;"","Inactive","Active"))</f>
        <v/>
      </c>
      <c r="R87" s="21" t="n"/>
    </row>
    <row r="88">
      <c r="A88" s="38" t="n"/>
      <c r="B88" s="38" t="n"/>
      <c r="C88" s="38" t="n"/>
      <c r="D88" s="38" t="n"/>
      <c r="E88" s="38" t="n"/>
      <c r="F88" s="38" t="n"/>
      <c r="G88" s="39" t="n"/>
      <c r="H88" s="39" t="n"/>
      <c r="I88" s="38" t="n"/>
      <c r="J88" s="40" t="n"/>
      <c r="K88" s="40" t="n"/>
      <c r="L88" s="41" t="n"/>
      <c r="M88" s="41" t="n"/>
      <c r="N88" s="38" t="n"/>
      <c r="O88" s="38" t="n"/>
      <c r="P88" s="38" t="n"/>
      <c r="Q88" s="38">
        <f>IF(B88="","",IF(H88&lt;&gt;"","Inactive","Active"))</f>
        <v/>
      </c>
      <c r="R88" s="21" t="n"/>
    </row>
    <row r="89">
      <c r="A89" s="38" t="n"/>
      <c r="B89" s="38" t="n"/>
      <c r="C89" s="38" t="n"/>
      <c r="D89" s="38" t="n"/>
      <c r="E89" s="38" t="n"/>
      <c r="F89" s="38" t="n"/>
      <c r="G89" s="39" t="n"/>
      <c r="H89" s="39" t="n"/>
      <c r="I89" s="38" t="n"/>
      <c r="J89" s="40" t="n"/>
      <c r="K89" s="40" t="n"/>
      <c r="L89" s="41" t="n"/>
      <c r="M89" s="41" t="n"/>
      <c r="N89" s="38" t="n"/>
      <c r="O89" s="38" t="n"/>
      <c r="P89" s="38" t="n"/>
      <c r="Q89" s="38">
        <f>IF(B89="","",IF(H89&lt;&gt;"","Inactive","Active"))</f>
        <v/>
      </c>
      <c r="R89" s="21" t="n"/>
    </row>
    <row r="90">
      <c r="A90" s="38" t="n"/>
      <c r="B90" s="38" t="n"/>
      <c r="C90" s="38" t="n"/>
      <c r="D90" s="38" t="n"/>
      <c r="E90" s="38" t="n"/>
      <c r="F90" s="38" t="n"/>
      <c r="G90" s="39" t="n"/>
      <c r="H90" s="39" t="n"/>
      <c r="I90" s="38" t="n"/>
      <c r="J90" s="40" t="n"/>
      <c r="K90" s="40" t="n"/>
      <c r="L90" s="41" t="n"/>
      <c r="M90" s="41" t="n"/>
      <c r="N90" s="38" t="n"/>
      <c r="O90" s="38" t="n"/>
      <c r="P90" s="38" t="n"/>
      <c r="Q90" s="38">
        <f>IF(B90="","",IF(H90&lt;&gt;"","Inactive","Active"))</f>
        <v/>
      </c>
      <c r="R90" s="21" t="n"/>
    </row>
    <row r="91">
      <c r="A91" s="38" t="n"/>
      <c r="B91" s="38" t="n"/>
      <c r="C91" s="38" t="n"/>
      <c r="D91" s="38" t="n"/>
      <c r="E91" s="38" t="n"/>
      <c r="F91" s="38" t="n"/>
      <c r="G91" s="39" t="n"/>
      <c r="H91" s="39" t="n"/>
      <c r="I91" s="38" t="n"/>
      <c r="J91" s="40" t="n"/>
      <c r="K91" s="40" t="n"/>
      <c r="L91" s="41" t="n"/>
      <c r="M91" s="41" t="n"/>
      <c r="N91" s="38" t="n"/>
      <c r="O91" s="38" t="n"/>
      <c r="P91" s="38" t="n"/>
      <c r="Q91" s="38">
        <f>IF(B91="","",IF(H91&lt;&gt;"","Inactive","Active"))</f>
        <v/>
      </c>
      <c r="R91" s="21" t="n"/>
    </row>
    <row r="92">
      <c r="A92" s="38" t="n"/>
      <c r="B92" s="38" t="n"/>
      <c r="C92" s="38" t="n"/>
      <c r="D92" s="38" t="n"/>
      <c r="E92" s="38" t="n"/>
      <c r="F92" s="38" t="n"/>
      <c r="G92" s="39" t="n"/>
      <c r="H92" s="39" t="n"/>
      <c r="I92" s="38" t="n"/>
      <c r="J92" s="40" t="n"/>
      <c r="K92" s="40" t="n"/>
      <c r="L92" s="41" t="n"/>
      <c r="M92" s="41" t="n"/>
      <c r="N92" s="38" t="n"/>
      <c r="O92" s="38" t="n"/>
      <c r="P92" s="38" t="n"/>
      <c r="Q92" s="38">
        <f>IF(B92="","",IF(H92&lt;&gt;"","Inactive","Active"))</f>
        <v/>
      </c>
      <c r="R92" s="21" t="n"/>
    </row>
    <row r="93">
      <c r="A93" s="38" t="n"/>
      <c r="B93" s="38" t="n"/>
      <c r="C93" s="38" t="n"/>
      <c r="D93" s="38" t="n"/>
      <c r="E93" s="38" t="n"/>
      <c r="F93" s="38" t="n"/>
      <c r="G93" s="39" t="n"/>
      <c r="H93" s="39" t="n"/>
      <c r="I93" s="38" t="n"/>
      <c r="J93" s="40" t="n"/>
      <c r="K93" s="40" t="n"/>
      <c r="L93" s="41" t="n"/>
      <c r="M93" s="41" t="n"/>
      <c r="N93" s="38" t="n"/>
      <c r="O93" s="38" t="n"/>
      <c r="P93" s="38" t="n"/>
      <c r="Q93" s="38">
        <f>IF(B93="","",IF(H93&lt;&gt;"","Inactive","Active"))</f>
        <v/>
      </c>
      <c r="R93" s="21" t="n"/>
    </row>
    <row r="94">
      <c r="A94" s="38" t="n"/>
      <c r="B94" s="38" t="n"/>
      <c r="C94" s="38" t="n"/>
      <c r="D94" s="38" t="n"/>
      <c r="E94" s="38" t="n"/>
      <c r="F94" s="38" t="n"/>
      <c r="G94" s="39" t="n"/>
      <c r="H94" s="39" t="n"/>
      <c r="I94" s="38" t="n"/>
      <c r="J94" s="40" t="n"/>
      <c r="K94" s="40" t="n"/>
      <c r="L94" s="41" t="n"/>
      <c r="M94" s="41" t="n"/>
      <c r="N94" s="38" t="n"/>
      <c r="O94" s="38" t="n"/>
      <c r="P94" s="38" t="n"/>
      <c r="Q94" s="38">
        <f>IF(B94="","",IF(H94&lt;&gt;"","Inactive","Active"))</f>
        <v/>
      </c>
      <c r="R94" s="21" t="n"/>
    </row>
    <row r="95">
      <c r="A95" s="38" t="n"/>
      <c r="B95" s="38" t="n"/>
      <c r="C95" s="38" t="n"/>
      <c r="D95" s="38" t="n"/>
      <c r="E95" s="38" t="n"/>
      <c r="F95" s="38" t="n"/>
      <c r="G95" s="39" t="n"/>
      <c r="H95" s="39" t="n"/>
      <c r="I95" s="38" t="n"/>
      <c r="J95" s="40" t="n"/>
      <c r="K95" s="40" t="n"/>
      <c r="L95" s="41" t="n"/>
      <c r="M95" s="41" t="n"/>
      <c r="N95" s="38" t="n"/>
      <c r="O95" s="38" t="n"/>
      <c r="P95" s="38" t="n"/>
      <c r="Q95" s="38">
        <f>IF(B95="","",IF(H95&lt;&gt;"","Inactive","Active"))</f>
        <v/>
      </c>
      <c r="R95" s="21" t="n"/>
    </row>
    <row r="96">
      <c r="A96" s="38" t="n"/>
      <c r="B96" s="38" t="n"/>
      <c r="C96" s="38" t="n"/>
      <c r="D96" s="38" t="n"/>
      <c r="E96" s="38" t="n"/>
      <c r="F96" s="38" t="n"/>
      <c r="G96" s="39" t="n"/>
      <c r="H96" s="39" t="n"/>
      <c r="I96" s="38" t="n"/>
      <c r="J96" s="40" t="n"/>
      <c r="K96" s="40" t="n"/>
      <c r="L96" s="41" t="n"/>
      <c r="M96" s="41" t="n"/>
      <c r="N96" s="38" t="n"/>
      <c r="O96" s="38" t="n"/>
      <c r="P96" s="38" t="n"/>
      <c r="Q96" s="38">
        <f>IF(B96="","",IF(H96&lt;&gt;"","Inactive","Active"))</f>
        <v/>
      </c>
      <c r="R96" s="21" t="n"/>
    </row>
    <row r="97">
      <c r="A97" s="38" t="n"/>
      <c r="B97" s="38" t="n"/>
      <c r="C97" s="38" t="n"/>
      <c r="D97" s="38" t="n"/>
      <c r="E97" s="38" t="n"/>
      <c r="F97" s="38" t="n"/>
      <c r="G97" s="39" t="n"/>
      <c r="H97" s="39" t="n"/>
      <c r="I97" s="38" t="n"/>
      <c r="J97" s="40" t="n"/>
      <c r="K97" s="40" t="n"/>
      <c r="L97" s="41" t="n"/>
      <c r="M97" s="41" t="n"/>
      <c r="N97" s="38" t="n"/>
      <c r="O97" s="38" t="n"/>
      <c r="P97" s="38" t="n"/>
      <c r="Q97" s="38">
        <f>IF(B97="","",IF(H97&lt;&gt;"","Inactive","Active"))</f>
        <v/>
      </c>
      <c r="R97" s="21" t="n"/>
    </row>
    <row r="98">
      <c r="A98" s="38" t="n"/>
      <c r="B98" s="38" t="n"/>
      <c r="C98" s="38" t="n"/>
      <c r="D98" s="38" t="n"/>
      <c r="E98" s="38" t="n"/>
      <c r="F98" s="38" t="n"/>
      <c r="G98" s="39" t="n"/>
      <c r="H98" s="39" t="n"/>
      <c r="I98" s="38" t="n"/>
      <c r="J98" s="40" t="n"/>
      <c r="K98" s="40" t="n"/>
      <c r="L98" s="41" t="n"/>
      <c r="M98" s="41" t="n"/>
      <c r="N98" s="38" t="n"/>
      <c r="O98" s="38" t="n"/>
      <c r="P98" s="38" t="n"/>
      <c r="Q98" s="38">
        <f>IF(B98="","",IF(H98&lt;&gt;"","Inactive","Active"))</f>
        <v/>
      </c>
      <c r="R98" s="21" t="n"/>
    </row>
    <row r="99">
      <c r="A99" s="38" t="n"/>
      <c r="B99" s="38" t="n"/>
      <c r="C99" s="38" t="n"/>
      <c r="D99" s="38" t="n"/>
      <c r="E99" s="38" t="n"/>
      <c r="F99" s="38" t="n"/>
      <c r="G99" s="39" t="n"/>
      <c r="H99" s="39" t="n"/>
      <c r="I99" s="38" t="n"/>
      <c r="J99" s="40" t="n"/>
      <c r="K99" s="40" t="n"/>
      <c r="L99" s="41" t="n"/>
      <c r="M99" s="41" t="n"/>
      <c r="N99" s="38" t="n"/>
      <c r="O99" s="38" t="n"/>
      <c r="P99" s="38" t="n"/>
      <c r="Q99" s="38">
        <f>IF(B99="","",IF(H99&lt;&gt;"","Inactive","Active"))</f>
        <v/>
      </c>
      <c r="R99" s="21" t="n"/>
    </row>
    <row r="100">
      <c r="A100" s="38" t="n"/>
      <c r="B100" s="38" t="n"/>
      <c r="C100" s="38" t="n"/>
      <c r="D100" s="38" t="n"/>
      <c r="E100" s="38" t="n"/>
      <c r="F100" s="38" t="n"/>
      <c r="G100" s="39" t="n"/>
      <c r="H100" s="39" t="n"/>
      <c r="I100" s="38" t="n"/>
      <c r="J100" s="40" t="n"/>
      <c r="K100" s="40" t="n"/>
      <c r="L100" s="41" t="n"/>
      <c r="M100" s="41" t="n"/>
      <c r="N100" s="38" t="n"/>
      <c r="O100" s="38" t="n"/>
      <c r="P100" s="38" t="n"/>
      <c r="Q100" s="38">
        <f>IF(B100="","",IF(H100&lt;&gt;"","Inactive","Active"))</f>
        <v/>
      </c>
      <c r="R100" s="21" t="n"/>
    </row>
    <row r="101">
      <c r="A101" s="38" t="n"/>
      <c r="B101" s="38" t="n"/>
      <c r="C101" s="38" t="n"/>
      <c r="D101" s="38" t="n"/>
      <c r="E101" s="38" t="n"/>
      <c r="F101" s="38" t="n"/>
      <c r="G101" s="39" t="n"/>
      <c r="H101" s="39" t="n"/>
      <c r="I101" s="38" t="n"/>
      <c r="J101" s="40" t="n"/>
      <c r="K101" s="40" t="n"/>
      <c r="L101" s="41" t="n"/>
      <c r="M101" s="41" t="n"/>
      <c r="N101" s="38" t="n"/>
      <c r="O101" s="38" t="n"/>
      <c r="P101" s="38" t="n"/>
      <c r="Q101" s="38">
        <f>IF(B101="","",IF(H101&lt;&gt;"","Inactive","Active"))</f>
        <v/>
      </c>
      <c r="R101" s="21" t="n"/>
    </row>
    <row r="102">
      <c r="A102" s="38" t="n"/>
      <c r="B102" s="38" t="n"/>
      <c r="C102" s="38" t="n"/>
      <c r="D102" s="38" t="n"/>
      <c r="E102" s="38" t="n"/>
      <c r="F102" s="38" t="n"/>
      <c r="G102" s="39" t="n"/>
      <c r="H102" s="39" t="n"/>
      <c r="I102" s="38" t="n"/>
      <c r="J102" s="40" t="n"/>
      <c r="K102" s="40" t="n"/>
      <c r="L102" s="41" t="n"/>
      <c r="M102" s="41" t="n"/>
      <c r="N102" s="38" t="n"/>
      <c r="O102" s="38" t="n"/>
      <c r="P102" s="38" t="n"/>
      <c r="Q102" s="38">
        <f>IF(B102="","",IF(H102&lt;&gt;"","Inactive","Active"))</f>
        <v/>
      </c>
      <c r="R102" s="21" t="n"/>
    </row>
    <row r="103">
      <c r="A103" s="38" t="n"/>
      <c r="B103" s="38" t="n"/>
      <c r="C103" s="38" t="n"/>
      <c r="D103" s="38" t="n"/>
      <c r="E103" s="38" t="n"/>
      <c r="F103" s="38" t="n"/>
      <c r="G103" s="39" t="n"/>
      <c r="H103" s="39" t="n"/>
      <c r="I103" s="38" t="n"/>
      <c r="J103" s="40" t="n"/>
      <c r="K103" s="40" t="n"/>
      <c r="L103" s="41" t="n"/>
      <c r="M103" s="41" t="n"/>
      <c r="N103" s="38" t="n"/>
      <c r="O103" s="38" t="n"/>
      <c r="P103" s="38" t="n"/>
      <c r="Q103" s="38">
        <f>IF(B103="","",IF(H103&lt;&gt;"","Inactive","Active"))</f>
        <v/>
      </c>
      <c r="R103" s="21" t="n"/>
    </row>
    <row r="104">
      <c r="A104" s="38" t="n"/>
      <c r="B104" s="38" t="n"/>
      <c r="C104" s="38" t="n"/>
      <c r="D104" s="38" t="n"/>
      <c r="E104" s="38" t="n"/>
      <c r="F104" s="38" t="n"/>
      <c r="G104" s="39" t="n"/>
      <c r="H104" s="39" t="n"/>
      <c r="I104" s="38" t="n"/>
      <c r="J104" s="40" t="n"/>
      <c r="K104" s="40" t="n"/>
      <c r="L104" s="41" t="n"/>
      <c r="M104" s="41" t="n"/>
      <c r="N104" s="38" t="n"/>
      <c r="O104" s="38" t="n"/>
      <c r="P104" s="38" t="n"/>
      <c r="Q104" s="38">
        <f>IF(B104="","",IF(H104&lt;&gt;"","Inactive","Active"))</f>
        <v/>
      </c>
      <c r="R104" s="21" t="n"/>
    </row>
    <row r="105">
      <c r="A105" s="38" t="n"/>
      <c r="B105" s="38" t="n"/>
      <c r="C105" s="38" t="n"/>
      <c r="D105" s="38" t="n"/>
      <c r="E105" s="38" t="n"/>
      <c r="F105" s="38" t="n"/>
      <c r="G105" s="39" t="n"/>
      <c r="H105" s="39" t="n"/>
      <c r="I105" s="38" t="n"/>
      <c r="J105" s="40" t="n"/>
      <c r="K105" s="40" t="n"/>
      <c r="L105" s="41" t="n"/>
      <c r="M105" s="41" t="n"/>
      <c r="N105" s="38" t="n"/>
      <c r="O105" s="38" t="n"/>
      <c r="P105" s="38" t="n"/>
      <c r="Q105" s="38">
        <f>IF(B105="","",IF(H105&lt;&gt;"","Inactive","Active"))</f>
        <v/>
      </c>
      <c r="R105" s="21" t="n"/>
    </row>
    <row r="106">
      <c r="A106" s="38" t="n"/>
      <c r="B106" s="38" t="n"/>
      <c r="C106" s="38" t="n"/>
      <c r="D106" s="38" t="n"/>
      <c r="E106" s="38" t="n"/>
      <c r="F106" s="38" t="n"/>
      <c r="G106" s="39" t="n"/>
      <c r="H106" s="39" t="n"/>
      <c r="I106" s="38" t="n"/>
      <c r="J106" s="40" t="n"/>
      <c r="K106" s="40" t="n"/>
      <c r="L106" s="41" t="n"/>
      <c r="M106" s="41" t="n"/>
      <c r="N106" s="38" t="n"/>
      <c r="O106" s="38" t="n"/>
      <c r="P106" s="38" t="n"/>
      <c r="Q106" s="38">
        <f>IF(B106="","",IF(H106&lt;&gt;"","Inactive","Active"))</f>
        <v/>
      </c>
      <c r="R106" s="21" t="n"/>
    </row>
    <row r="107">
      <c r="A107" s="38" t="n"/>
      <c r="B107" s="38" t="n"/>
      <c r="C107" s="38" t="n"/>
      <c r="D107" s="38" t="n"/>
      <c r="E107" s="38" t="n"/>
      <c r="F107" s="38" t="n"/>
      <c r="G107" s="39" t="n"/>
      <c r="H107" s="39" t="n"/>
      <c r="I107" s="38" t="n"/>
      <c r="J107" s="40" t="n"/>
      <c r="K107" s="40" t="n"/>
      <c r="L107" s="41" t="n"/>
      <c r="M107" s="41" t="n"/>
      <c r="N107" s="38" t="n"/>
      <c r="O107" s="38" t="n"/>
      <c r="P107" s="38" t="n"/>
      <c r="Q107" s="38">
        <f>IF(B107="","",IF(H107&lt;&gt;"","Inactive","Active"))</f>
        <v/>
      </c>
      <c r="R107" s="21" t="n"/>
    </row>
    <row r="108">
      <c r="A108" s="38" t="n"/>
      <c r="B108" s="38" t="n"/>
      <c r="C108" s="38" t="n"/>
      <c r="D108" s="38" t="n"/>
      <c r="E108" s="38" t="n"/>
      <c r="F108" s="38" t="n"/>
      <c r="G108" s="39" t="n"/>
      <c r="H108" s="39" t="n"/>
      <c r="I108" s="38" t="n"/>
      <c r="J108" s="40" t="n"/>
      <c r="K108" s="40" t="n"/>
      <c r="L108" s="41" t="n"/>
      <c r="M108" s="41" t="n"/>
      <c r="N108" s="38" t="n"/>
      <c r="O108" s="38" t="n"/>
      <c r="P108" s="38" t="n"/>
      <c r="Q108" s="38">
        <f>IF(B108="","",IF(H108&lt;&gt;"","Inactive","Active"))</f>
        <v/>
      </c>
      <c r="R108" s="21" t="n"/>
    </row>
    <row r="109">
      <c r="A109" s="38" t="n"/>
      <c r="B109" s="38" t="n"/>
      <c r="C109" s="38" t="n"/>
      <c r="D109" s="38" t="n"/>
      <c r="E109" s="38" t="n"/>
      <c r="F109" s="38" t="n"/>
      <c r="G109" s="39" t="n"/>
      <c r="H109" s="39" t="n"/>
      <c r="I109" s="38" t="n"/>
      <c r="J109" s="40" t="n"/>
      <c r="K109" s="40" t="n"/>
      <c r="L109" s="41" t="n"/>
      <c r="M109" s="41" t="n"/>
      <c r="N109" s="38" t="n"/>
      <c r="O109" s="38" t="n"/>
      <c r="P109" s="38" t="n"/>
      <c r="Q109" s="38">
        <f>IF(B109="","",IF(H109&lt;&gt;"","Inactive","Active"))</f>
        <v/>
      </c>
      <c r="R109" s="21" t="n"/>
    </row>
    <row r="110">
      <c r="A110" s="38" t="n"/>
      <c r="B110" s="38" t="n"/>
      <c r="C110" s="38" t="n"/>
      <c r="D110" s="38" t="n"/>
      <c r="E110" s="38" t="n"/>
      <c r="F110" s="38" t="n"/>
      <c r="G110" s="39" t="n"/>
      <c r="H110" s="39" t="n"/>
      <c r="I110" s="38" t="n"/>
      <c r="J110" s="40" t="n"/>
      <c r="K110" s="40" t="n"/>
      <c r="L110" s="41" t="n"/>
      <c r="M110" s="41" t="n"/>
      <c r="N110" s="38" t="n"/>
      <c r="O110" s="38" t="n"/>
      <c r="P110" s="38" t="n"/>
      <c r="Q110" s="38">
        <f>IF(B110="","",IF(H110&lt;&gt;"","Inactive","Active"))</f>
        <v/>
      </c>
      <c r="R110" s="21" t="n"/>
    </row>
    <row r="111">
      <c r="A111" s="38" t="n"/>
      <c r="B111" s="38" t="n"/>
      <c r="C111" s="38" t="n"/>
      <c r="D111" s="38" t="n"/>
      <c r="E111" s="38" t="n"/>
      <c r="F111" s="38" t="n"/>
      <c r="G111" s="39" t="n"/>
      <c r="H111" s="39" t="n"/>
      <c r="I111" s="38" t="n"/>
      <c r="J111" s="40" t="n"/>
      <c r="K111" s="40" t="n"/>
      <c r="L111" s="41" t="n"/>
      <c r="M111" s="41" t="n"/>
      <c r="N111" s="38" t="n"/>
      <c r="O111" s="38" t="n"/>
      <c r="P111" s="38" t="n"/>
      <c r="Q111" s="38">
        <f>IF(B111="","",IF(H111&lt;&gt;"","Inactive","Active"))</f>
        <v/>
      </c>
      <c r="R111" s="21" t="n"/>
    </row>
    <row r="112">
      <c r="A112" s="38" t="n"/>
      <c r="B112" s="38" t="n"/>
      <c r="C112" s="38" t="n"/>
      <c r="D112" s="38" t="n"/>
      <c r="E112" s="38" t="n"/>
      <c r="F112" s="38" t="n"/>
      <c r="G112" s="39" t="n"/>
      <c r="H112" s="39" t="n"/>
      <c r="I112" s="38" t="n"/>
      <c r="J112" s="40" t="n"/>
      <c r="K112" s="40" t="n"/>
      <c r="L112" s="41" t="n"/>
      <c r="M112" s="41" t="n"/>
      <c r="N112" s="38" t="n"/>
      <c r="O112" s="38" t="n"/>
      <c r="P112" s="38" t="n"/>
      <c r="Q112" s="38">
        <f>IF(B112="","",IF(H112&lt;&gt;"","Inactive","Active"))</f>
        <v/>
      </c>
      <c r="R112" s="21" t="n"/>
    </row>
    <row r="113">
      <c r="A113" s="38" t="n"/>
      <c r="B113" s="38" t="n"/>
      <c r="C113" s="38" t="n"/>
      <c r="D113" s="38" t="n"/>
      <c r="E113" s="38" t="n"/>
      <c r="F113" s="38" t="n"/>
      <c r="G113" s="39" t="n"/>
      <c r="H113" s="39" t="n"/>
      <c r="I113" s="38" t="n"/>
      <c r="J113" s="40" t="n"/>
      <c r="K113" s="40" t="n"/>
      <c r="L113" s="41" t="n"/>
      <c r="M113" s="41" t="n"/>
      <c r="N113" s="38" t="n"/>
      <c r="O113" s="38" t="n"/>
      <c r="P113" s="38" t="n"/>
      <c r="Q113" s="38">
        <f>IF(B113="","",IF(H113&lt;&gt;"","Inactive","Active"))</f>
        <v/>
      </c>
      <c r="R113" s="21" t="n"/>
    </row>
    <row r="114">
      <c r="A114" s="38" t="n"/>
      <c r="B114" s="38" t="n"/>
      <c r="C114" s="38" t="n"/>
      <c r="D114" s="38" t="n"/>
      <c r="E114" s="38" t="n"/>
      <c r="F114" s="38" t="n"/>
      <c r="G114" s="39" t="n"/>
      <c r="H114" s="39" t="n"/>
      <c r="I114" s="38" t="n"/>
      <c r="J114" s="40" t="n"/>
      <c r="K114" s="40" t="n"/>
      <c r="L114" s="41" t="n"/>
      <c r="M114" s="41" t="n"/>
      <c r="N114" s="38" t="n"/>
      <c r="O114" s="38" t="n"/>
      <c r="P114" s="38" t="n"/>
      <c r="Q114" s="38">
        <f>IF(B114="","",IF(H114&lt;&gt;"","Inactive","Active"))</f>
        <v/>
      </c>
      <c r="R114" s="21" t="n"/>
    </row>
    <row r="115">
      <c r="A115" s="38" t="n"/>
      <c r="B115" s="38" t="n"/>
      <c r="C115" s="38" t="n"/>
      <c r="D115" s="38" t="n"/>
      <c r="E115" s="38" t="n"/>
      <c r="F115" s="38" t="n"/>
      <c r="G115" s="39" t="n"/>
      <c r="H115" s="39" t="n"/>
      <c r="I115" s="38" t="n"/>
      <c r="J115" s="40" t="n"/>
      <c r="K115" s="40" t="n"/>
      <c r="L115" s="41" t="n"/>
      <c r="M115" s="41" t="n"/>
      <c r="N115" s="38" t="n"/>
      <c r="O115" s="38" t="n"/>
      <c r="P115" s="38" t="n"/>
      <c r="Q115" s="38">
        <f>IF(B115="","",IF(H115&lt;&gt;"","Inactive","Active"))</f>
        <v/>
      </c>
      <c r="R115" s="21" t="n"/>
    </row>
    <row r="116">
      <c r="A116" s="38" t="n"/>
      <c r="B116" s="38" t="n"/>
      <c r="C116" s="38" t="n"/>
      <c r="D116" s="38" t="n"/>
      <c r="E116" s="38" t="n"/>
      <c r="F116" s="38" t="n"/>
      <c r="G116" s="39" t="n"/>
      <c r="H116" s="39" t="n"/>
      <c r="I116" s="38" t="n"/>
      <c r="J116" s="40" t="n"/>
      <c r="K116" s="40" t="n"/>
      <c r="L116" s="41" t="n"/>
      <c r="M116" s="41" t="n"/>
      <c r="N116" s="38" t="n"/>
      <c r="O116" s="38" t="n"/>
      <c r="P116" s="38" t="n"/>
      <c r="Q116" s="38">
        <f>IF(B116="","",IF(H116&lt;&gt;"","Inactive","Active"))</f>
        <v/>
      </c>
      <c r="R116" s="21" t="n"/>
    </row>
    <row r="117">
      <c r="A117" s="38" t="n"/>
      <c r="B117" s="38" t="n"/>
      <c r="C117" s="38" t="n"/>
      <c r="D117" s="38" t="n"/>
      <c r="E117" s="38" t="n"/>
      <c r="F117" s="38" t="n"/>
      <c r="G117" s="39" t="n"/>
      <c r="H117" s="39" t="n"/>
      <c r="I117" s="38" t="n"/>
      <c r="J117" s="40" t="n"/>
      <c r="K117" s="40" t="n"/>
      <c r="L117" s="41" t="n"/>
      <c r="M117" s="41" t="n"/>
      <c r="N117" s="38" t="n"/>
      <c r="O117" s="38" t="n"/>
      <c r="P117" s="38" t="n"/>
      <c r="Q117" s="38">
        <f>IF(B117="","",IF(H117&lt;&gt;"","Inactive","Active"))</f>
        <v/>
      </c>
      <c r="R117" s="21" t="n"/>
    </row>
    <row r="118">
      <c r="A118" s="38" t="n"/>
      <c r="B118" s="38" t="n"/>
      <c r="C118" s="38" t="n"/>
      <c r="D118" s="38" t="n"/>
      <c r="E118" s="38" t="n"/>
      <c r="F118" s="38" t="n"/>
      <c r="G118" s="39" t="n"/>
      <c r="H118" s="39" t="n"/>
      <c r="I118" s="38" t="n"/>
      <c r="J118" s="40" t="n"/>
      <c r="K118" s="40" t="n"/>
      <c r="L118" s="41" t="n"/>
      <c r="M118" s="41" t="n"/>
      <c r="N118" s="38" t="n"/>
      <c r="O118" s="38" t="n"/>
      <c r="P118" s="38" t="n"/>
      <c r="Q118" s="38">
        <f>IF(B118="","",IF(H118&lt;&gt;"","Inactive","Active"))</f>
        <v/>
      </c>
      <c r="R118" s="21" t="n"/>
    </row>
    <row r="119">
      <c r="A119" s="38" t="n"/>
      <c r="B119" s="38" t="n"/>
      <c r="C119" s="38" t="n"/>
      <c r="D119" s="38" t="n"/>
      <c r="E119" s="38" t="n"/>
      <c r="F119" s="38" t="n"/>
      <c r="G119" s="39" t="n"/>
      <c r="H119" s="39" t="n"/>
      <c r="I119" s="38" t="n"/>
      <c r="J119" s="40" t="n"/>
      <c r="K119" s="40" t="n"/>
      <c r="L119" s="41" t="n"/>
      <c r="M119" s="41" t="n"/>
      <c r="N119" s="38" t="n"/>
      <c r="O119" s="38" t="n"/>
      <c r="P119" s="38" t="n"/>
      <c r="Q119" s="38">
        <f>IF(B119="","",IF(H119&lt;&gt;"","Inactive","Active"))</f>
        <v/>
      </c>
      <c r="R119" s="21" t="n"/>
    </row>
    <row r="120">
      <c r="A120" s="38" t="n"/>
      <c r="B120" s="38" t="n"/>
      <c r="C120" s="38" t="n"/>
      <c r="D120" s="38" t="n"/>
      <c r="E120" s="38" t="n"/>
      <c r="F120" s="38" t="n"/>
      <c r="G120" s="39" t="n"/>
      <c r="H120" s="39" t="n"/>
      <c r="I120" s="38" t="n"/>
      <c r="J120" s="40" t="n"/>
      <c r="K120" s="40" t="n"/>
      <c r="L120" s="41" t="n"/>
      <c r="M120" s="41" t="n"/>
      <c r="N120" s="38" t="n"/>
      <c r="O120" s="38" t="n"/>
      <c r="P120" s="38" t="n"/>
      <c r="Q120" s="38">
        <f>IF(B120="","",IF(H120&lt;&gt;"","Inactive","Active"))</f>
        <v/>
      </c>
      <c r="R120" s="21" t="n"/>
    </row>
    <row r="121">
      <c r="A121" s="38" t="n"/>
      <c r="B121" s="38" t="n"/>
      <c r="C121" s="38" t="n"/>
      <c r="D121" s="38" t="n"/>
      <c r="E121" s="38" t="n"/>
      <c r="F121" s="38" t="n"/>
      <c r="G121" s="39" t="n"/>
      <c r="H121" s="39" t="n"/>
      <c r="I121" s="38" t="n"/>
      <c r="J121" s="40" t="n"/>
      <c r="K121" s="40" t="n"/>
      <c r="L121" s="41" t="n"/>
      <c r="M121" s="41" t="n"/>
      <c r="N121" s="38" t="n"/>
      <c r="O121" s="38" t="n"/>
      <c r="P121" s="38" t="n"/>
      <c r="Q121" s="38">
        <f>IF(B121="","",IF(H121&lt;&gt;"","Inactive","Active"))</f>
        <v/>
      </c>
      <c r="R121" s="21" t="n"/>
    </row>
    <row r="122">
      <c r="A122" s="38" t="n"/>
      <c r="B122" s="38" t="n"/>
      <c r="C122" s="38" t="n"/>
      <c r="D122" s="38" t="n"/>
      <c r="E122" s="38" t="n"/>
      <c r="F122" s="38" t="n"/>
      <c r="G122" s="39" t="n"/>
      <c r="H122" s="39" t="n"/>
      <c r="I122" s="38" t="n"/>
      <c r="J122" s="40" t="n"/>
      <c r="K122" s="40" t="n"/>
      <c r="L122" s="41" t="n"/>
      <c r="M122" s="41" t="n"/>
      <c r="N122" s="38" t="n"/>
      <c r="O122" s="38" t="n"/>
      <c r="P122" s="38" t="n"/>
      <c r="Q122" s="38">
        <f>IF(B122="","",IF(H122&lt;&gt;"","Inactive","Active"))</f>
        <v/>
      </c>
      <c r="R122" s="21" t="n"/>
    </row>
    <row r="123">
      <c r="A123" s="38" t="n"/>
      <c r="B123" s="38" t="n"/>
      <c r="C123" s="38" t="n"/>
      <c r="D123" s="38" t="n"/>
      <c r="E123" s="38" t="n"/>
      <c r="F123" s="38" t="n"/>
      <c r="G123" s="39" t="n"/>
      <c r="H123" s="39" t="n"/>
      <c r="I123" s="38" t="n"/>
      <c r="J123" s="40" t="n"/>
      <c r="K123" s="40" t="n"/>
      <c r="L123" s="41" t="n"/>
      <c r="M123" s="41" t="n"/>
      <c r="N123" s="38" t="n"/>
      <c r="O123" s="38" t="n"/>
      <c r="P123" s="38" t="n"/>
      <c r="Q123" s="38">
        <f>IF(B123="","",IF(H123&lt;&gt;"","Inactive","Active"))</f>
        <v/>
      </c>
      <c r="R123" s="21" t="n"/>
    </row>
    <row r="124">
      <c r="A124" s="38" t="n"/>
      <c r="B124" s="38" t="n"/>
      <c r="C124" s="38" t="n"/>
      <c r="D124" s="38" t="n"/>
      <c r="E124" s="38" t="n"/>
      <c r="F124" s="38" t="n"/>
      <c r="G124" s="39" t="n"/>
      <c r="H124" s="39" t="n"/>
      <c r="I124" s="38" t="n"/>
      <c r="J124" s="40" t="n"/>
      <c r="K124" s="40" t="n"/>
      <c r="L124" s="41" t="n"/>
      <c r="M124" s="41" t="n"/>
      <c r="N124" s="38" t="n"/>
      <c r="O124" s="38" t="n"/>
      <c r="P124" s="38" t="n"/>
      <c r="Q124" s="38">
        <f>IF(B124="","",IF(H124&lt;&gt;"","Inactive","Active"))</f>
        <v/>
      </c>
      <c r="R124" s="21" t="n"/>
    </row>
    <row r="125">
      <c r="A125" s="38" t="n"/>
      <c r="B125" s="38" t="n"/>
      <c r="C125" s="38" t="n"/>
      <c r="D125" s="38" t="n"/>
      <c r="E125" s="38" t="n"/>
      <c r="F125" s="38" t="n"/>
      <c r="G125" s="39" t="n"/>
      <c r="H125" s="39" t="n"/>
      <c r="I125" s="38" t="n"/>
      <c r="J125" s="40" t="n"/>
      <c r="K125" s="40" t="n"/>
      <c r="L125" s="41" t="n"/>
      <c r="M125" s="41" t="n"/>
      <c r="N125" s="38" t="n"/>
      <c r="O125" s="38" t="n"/>
      <c r="P125" s="38" t="n"/>
      <c r="Q125" s="38">
        <f>IF(B125="","",IF(H125&lt;&gt;"","Inactive","Active"))</f>
        <v/>
      </c>
      <c r="R125" s="21" t="n"/>
    </row>
    <row r="126">
      <c r="A126" s="38" t="n"/>
      <c r="B126" s="38" t="n"/>
      <c r="C126" s="38" t="n"/>
      <c r="D126" s="38" t="n"/>
      <c r="E126" s="38" t="n"/>
      <c r="F126" s="38" t="n"/>
      <c r="G126" s="39" t="n"/>
      <c r="H126" s="39" t="n"/>
      <c r="I126" s="38" t="n"/>
      <c r="J126" s="40" t="n"/>
      <c r="K126" s="40" t="n"/>
      <c r="L126" s="41" t="n"/>
      <c r="M126" s="41" t="n"/>
      <c r="N126" s="38" t="n"/>
      <c r="O126" s="38" t="n"/>
      <c r="P126" s="38" t="n"/>
      <c r="Q126" s="38">
        <f>IF(B126="","",IF(H126&lt;&gt;"","Inactive","Active"))</f>
        <v/>
      </c>
      <c r="R126" s="21" t="n"/>
    </row>
    <row r="127">
      <c r="A127" s="38" t="n"/>
      <c r="B127" s="38" t="n"/>
      <c r="C127" s="38" t="n"/>
      <c r="D127" s="38" t="n"/>
      <c r="E127" s="38" t="n"/>
      <c r="F127" s="38" t="n"/>
      <c r="G127" s="39" t="n"/>
      <c r="H127" s="39" t="n"/>
      <c r="I127" s="38" t="n"/>
      <c r="J127" s="40" t="n"/>
      <c r="K127" s="40" t="n"/>
      <c r="L127" s="41" t="n"/>
      <c r="M127" s="41" t="n"/>
      <c r="N127" s="38" t="n"/>
      <c r="O127" s="38" t="n"/>
      <c r="P127" s="38" t="n"/>
      <c r="Q127" s="38">
        <f>IF(B127="","",IF(H127&lt;&gt;"","Inactive","Active"))</f>
        <v/>
      </c>
      <c r="R127" s="21" t="n"/>
    </row>
    <row r="128">
      <c r="A128" s="38" t="n"/>
      <c r="B128" s="38" t="n"/>
      <c r="C128" s="38" t="n"/>
      <c r="D128" s="38" t="n"/>
      <c r="E128" s="38" t="n"/>
      <c r="F128" s="38" t="n"/>
      <c r="G128" s="39" t="n"/>
      <c r="H128" s="39" t="n"/>
      <c r="I128" s="38" t="n"/>
      <c r="J128" s="40" t="n"/>
      <c r="K128" s="40" t="n"/>
      <c r="L128" s="41" t="n"/>
      <c r="M128" s="41" t="n"/>
      <c r="N128" s="38" t="n"/>
      <c r="O128" s="38" t="n"/>
      <c r="P128" s="38" t="n"/>
      <c r="Q128" s="38">
        <f>IF(B128="","",IF(H128&lt;&gt;"","Inactive","Active"))</f>
        <v/>
      </c>
      <c r="R128" s="21" t="n"/>
    </row>
    <row r="129">
      <c r="A129" s="38" t="n"/>
      <c r="B129" s="38" t="n"/>
      <c r="C129" s="38" t="n"/>
      <c r="D129" s="38" t="n"/>
      <c r="E129" s="38" t="n"/>
      <c r="F129" s="38" t="n"/>
      <c r="G129" s="39" t="n"/>
      <c r="H129" s="39" t="n"/>
      <c r="I129" s="38" t="n"/>
      <c r="J129" s="40" t="n"/>
      <c r="K129" s="40" t="n"/>
      <c r="L129" s="41" t="n"/>
      <c r="M129" s="41" t="n"/>
      <c r="N129" s="38" t="n"/>
      <c r="O129" s="38" t="n"/>
      <c r="P129" s="38" t="n"/>
      <c r="Q129" s="38">
        <f>IF(B129="","",IF(H129&lt;&gt;"","Inactive","Active"))</f>
        <v/>
      </c>
      <c r="R129" s="21" t="n"/>
    </row>
    <row r="130">
      <c r="A130" s="38" t="n"/>
      <c r="B130" s="38" t="n"/>
      <c r="C130" s="38" t="n"/>
      <c r="D130" s="38" t="n"/>
      <c r="E130" s="38" t="n"/>
      <c r="F130" s="38" t="n"/>
      <c r="G130" s="39" t="n"/>
      <c r="H130" s="39" t="n"/>
      <c r="I130" s="38" t="n"/>
      <c r="J130" s="40" t="n"/>
      <c r="K130" s="40" t="n"/>
      <c r="L130" s="41" t="n"/>
      <c r="M130" s="41" t="n"/>
      <c r="N130" s="38" t="n"/>
      <c r="O130" s="38" t="n"/>
      <c r="P130" s="38" t="n"/>
      <c r="Q130" s="38">
        <f>IF(B130="","",IF(H130&lt;&gt;"","Inactive","Active"))</f>
        <v/>
      </c>
      <c r="R130" s="21" t="n"/>
    </row>
    <row r="131">
      <c r="A131" s="38" t="n"/>
      <c r="B131" s="38" t="n"/>
      <c r="C131" s="38" t="n"/>
      <c r="D131" s="38" t="n"/>
      <c r="E131" s="38" t="n"/>
      <c r="F131" s="38" t="n"/>
      <c r="G131" s="39" t="n"/>
      <c r="H131" s="39" t="n"/>
      <c r="I131" s="38" t="n"/>
      <c r="J131" s="40" t="n"/>
      <c r="K131" s="40" t="n"/>
      <c r="L131" s="41" t="n"/>
      <c r="M131" s="41" t="n"/>
      <c r="N131" s="38" t="n"/>
      <c r="O131" s="38" t="n"/>
      <c r="P131" s="38" t="n"/>
      <c r="Q131" s="38">
        <f>IF(B131="","",IF(H131&lt;&gt;"","Inactive","Active"))</f>
        <v/>
      </c>
      <c r="R131" s="21" t="n"/>
    </row>
    <row r="132">
      <c r="A132" s="38" t="n"/>
      <c r="B132" s="38" t="n"/>
      <c r="C132" s="38" t="n"/>
      <c r="D132" s="38" t="n"/>
      <c r="E132" s="38" t="n"/>
      <c r="F132" s="38" t="n"/>
      <c r="G132" s="39" t="n"/>
      <c r="H132" s="39" t="n"/>
      <c r="I132" s="38" t="n"/>
      <c r="J132" s="40" t="n"/>
      <c r="K132" s="40" t="n"/>
      <c r="L132" s="41" t="n"/>
      <c r="M132" s="41" t="n"/>
      <c r="N132" s="38" t="n"/>
      <c r="O132" s="38" t="n"/>
      <c r="P132" s="38" t="n"/>
      <c r="Q132" s="38">
        <f>IF(B132="","",IF(H132&lt;&gt;"","Inactive","Active"))</f>
        <v/>
      </c>
      <c r="R132" s="21" t="n"/>
    </row>
    <row r="133">
      <c r="A133" s="38" t="n"/>
      <c r="B133" s="38" t="n"/>
      <c r="C133" s="38" t="n"/>
      <c r="D133" s="38" t="n"/>
      <c r="E133" s="38" t="n"/>
      <c r="F133" s="38" t="n"/>
      <c r="G133" s="39" t="n"/>
      <c r="H133" s="39" t="n"/>
      <c r="I133" s="38" t="n"/>
      <c r="J133" s="40" t="n"/>
      <c r="K133" s="40" t="n"/>
      <c r="L133" s="41" t="n"/>
      <c r="M133" s="41" t="n"/>
      <c r="N133" s="38" t="n"/>
      <c r="O133" s="38" t="n"/>
      <c r="P133" s="38" t="n"/>
      <c r="Q133" s="38">
        <f>IF(B133="","",IF(H133&lt;&gt;"","Inactive","Active"))</f>
        <v/>
      </c>
      <c r="R133" s="21" t="n"/>
    </row>
    <row r="134">
      <c r="A134" s="38" t="n"/>
      <c r="B134" s="38" t="n"/>
      <c r="C134" s="38" t="n"/>
      <c r="D134" s="38" t="n"/>
      <c r="E134" s="38" t="n"/>
      <c r="F134" s="38" t="n"/>
      <c r="G134" s="39" t="n"/>
      <c r="H134" s="39" t="n"/>
      <c r="I134" s="38" t="n"/>
      <c r="J134" s="40" t="n"/>
      <c r="K134" s="40" t="n"/>
      <c r="L134" s="41" t="n"/>
      <c r="M134" s="41" t="n"/>
      <c r="N134" s="38" t="n"/>
      <c r="O134" s="38" t="n"/>
      <c r="P134" s="38" t="n"/>
      <c r="Q134" s="38">
        <f>IF(B134="","",IF(H134&lt;&gt;"","Inactive","Active"))</f>
        <v/>
      </c>
      <c r="R134" s="21" t="n"/>
    </row>
    <row r="135">
      <c r="A135" s="38" t="n"/>
      <c r="B135" s="38" t="n"/>
      <c r="C135" s="38" t="n"/>
      <c r="D135" s="38" t="n"/>
      <c r="E135" s="38" t="n"/>
      <c r="F135" s="38" t="n"/>
      <c r="G135" s="39" t="n"/>
      <c r="H135" s="39" t="n"/>
      <c r="I135" s="38" t="n"/>
      <c r="J135" s="40" t="n"/>
      <c r="K135" s="40" t="n"/>
      <c r="L135" s="41" t="n"/>
      <c r="M135" s="41" t="n"/>
      <c r="N135" s="38" t="n"/>
      <c r="O135" s="38" t="n"/>
      <c r="P135" s="38" t="n"/>
      <c r="Q135" s="38">
        <f>IF(B135="","",IF(H135&lt;&gt;"","Inactive","Active"))</f>
        <v/>
      </c>
      <c r="R135" s="21" t="n"/>
    </row>
    <row r="136">
      <c r="A136" s="38" t="n"/>
      <c r="B136" s="38" t="n"/>
      <c r="C136" s="38" t="n"/>
      <c r="D136" s="38" t="n"/>
      <c r="E136" s="38" t="n"/>
      <c r="F136" s="38" t="n"/>
      <c r="G136" s="39" t="n"/>
      <c r="H136" s="39" t="n"/>
      <c r="I136" s="38" t="n"/>
      <c r="J136" s="40" t="n"/>
      <c r="K136" s="40" t="n"/>
      <c r="L136" s="41" t="n"/>
      <c r="M136" s="41" t="n"/>
      <c r="N136" s="38" t="n"/>
      <c r="O136" s="38" t="n"/>
      <c r="P136" s="38" t="n"/>
      <c r="Q136" s="38">
        <f>IF(B136="","",IF(H136&lt;&gt;"","Inactive","Active"))</f>
        <v/>
      </c>
      <c r="R136" s="21" t="n"/>
    </row>
    <row r="137">
      <c r="A137" s="38" t="n"/>
      <c r="B137" s="38" t="n"/>
      <c r="C137" s="38" t="n"/>
      <c r="D137" s="38" t="n"/>
      <c r="E137" s="38" t="n"/>
      <c r="F137" s="38" t="n"/>
      <c r="G137" s="39" t="n"/>
      <c r="H137" s="39" t="n"/>
      <c r="I137" s="38" t="n"/>
      <c r="J137" s="40" t="n"/>
      <c r="K137" s="40" t="n"/>
      <c r="L137" s="41" t="n"/>
      <c r="M137" s="41" t="n"/>
      <c r="N137" s="38" t="n"/>
      <c r="O137" s="38" t="n"/>
      <c r="P137" s="38" t="n"/>
      <c r="Q137" s="38">
        <f>IF(B137="","",IF(H137&lt;&gt;"","Inactive","Active"))</f>
        <v/>
      </c>
      <c r="R137" s="21" t="n"/>
    </row>
    <row r="138">
      <c r="A138" s="38" t="n"/>
      <c r="B138" s="38" t="n"/>
      <c r="C138" s="38" t="n"/>
      <c r="D138" s="38" t="n"/>
      <c r="E138" s="38" t="n"/>
      <c r="F138" s="38" t="n"/>
      <c r="G138" s="39" t="n"/>
      <c r="H138" s="39" t="n"/>
      <c r="I138" s="38" t="n"/>
      <c r="J138" s="40" t="n"/>
      <c r="K138" s="40" t="n"/>
      <c r="L138" s="41" t="n"/>
      <c r="M138" s="41" t="n"/>
      <c r="N138" s="38" t="n"/>
      <c r="O138" s="38" t="n"/>
      <c r="P138" s="38" t="n"/>
      <c r="Q138" s="38">
        <f>IF(B138="","",IF(H138&lt;&gt;"","Inactive","Active"))</f>
        <v/>
      </c>
      <c r="R138" s="21" t="n"/>
    </row>
    <row r="139">
      <c r="A139" s="38" t="n"/>
      <c r="B139" s="38" t="n"/>
      <c r="C139" s="38" t="n"/>
      <c r="D139" s="38" t="n"/>
      <c r="E139" s="38" t="n"/>
      <c r="F139" s="38" t="n"/>
      <c r="G139" s="39" t="n"/>
      <c r="H139" s="39" t="n"/>
      <c r="I139" s="38" t="n"/>
      <c r="J139" s="40" t="n"/>
      <c r="K139" s="40" t="n"/>
      <c r="L139" s="41" t="n"/>
      <c r="M139" s="41" t="n"/>
      <c r="N139" s="38" t="n"/>
      <c r="O139" s="38" t="n"/>
      <c r="P139" s="38" t="n"/>
      <c r="Q139" s="38">
        <f>IF(B139="","",IF(H139&lt;&gt;"","Inactive","Active"))</f>
        <v/>
      </c>
      <c r="R139" s="21" t="n"/>
    </row>
    <row r="140">
      <c r="A140" s="38" t="n"/>
      <c r="B140" s="38" t="n"/>
      <c r="C140" s="38" t="n"/>
      <c r="D140" s="38" t="n"/>
      <c r="E140" s="38" t="n"/>
      <c r="F140" s="38" t="n"/>
      <c r="G140" s="39" t="n"/>
      <c r="H140" s="39" t="n"/>
      <c r="I140" s="38" t="n"/>
      <c r="J140" s="40" t="n"/>
      <c r="K140" s="40" t="n"/>
      <c r="L140" s="41" t="n"/>
      <c r="M140" s="41" t="n"/>
      <c r="N140" s="38" t="n"/>
      <c r="O140" s="38" t="n"/>
      <c r="P140" s="38" t="n"/>
      <c r="Q140" s="38">
        <f>IF(B140="","",IF(H140&lt;&gt;"","Inactive","Active"))</f>
        <v/>
      </c>
      <c r="R140" s="21" t="n"/>
    </row>
    <row r="141">
      <c r="A141" s="38" t="n"/>
      <c r="B141" s="38" t="n"/>
      <c r="C141" s="38" t="n"/>
      <c r="D141" s="38" t="n"/>
      <c r="E141" s="38" t="n"/>
      <c r="F141" s="38" t="n"/>
      <c r="G141" s="39" t="n"/>
      <c r="H141" s="39" t="n"/>
      <c r="I141" s="38" t="n"/>
      <c r="J141" s="40" t="n"/>
      <c r="K141" s="40" t="n"/>
      <c r="L141" s="41" t="n"/>
      <c r="M141" s="41" t="n"/>
      <c r="N141" s="38" t="n"/>
      <c r="O141" s="38" t="n"/>
      <c r="P141" s="38" t="n"/>
      <c r="Q141" s="38">
        <f>IF(B141="","",IF(H141&lt;&gt;"","Inactive","Active"))</f>
        <v/>
      </c>
      <c r="R141" s="21" t="n"/>
    </row>
    <row r="142">
      <c r="A142" s="38" t="n"/>
      <c r="B142" s="38" t="n"/>
      <c r="C142" s="38" t="n"/>
      <c r="D142" s="38" t="n"/>
      <c r="E142" s="38" t="n"/>
      <c r="F142" s="38" t="n"/>
      <c r="G142" s="39" t="n"/>
      <c r="H142" s="39" t="n"/>
      <c r="I142" s="38" t="n"/>
      <c r="J142" s="40" t="n"/>
      <c r="K142" s="40" t="n"/>
      <c r="L142" s="41" t="n"/>
      <c r="M142" s="41" t="n"/>
      <c r="N142" s="38" t="n"/>
      <c r="O142" s="38" t="n"/>
      <c r="P142" s="38" t="n"/>
      <c r="Q142" s="38">
        <f>IF(B142="","",IF(H142&lt;&gt;"","Inactive","Active"))</f>
        <v/>
      </c>
      <c r="R142" s="21" t="n"/>
    </row>
    <row r="143">
      <c r="A143" s="38" t="n"/>
      <c r="B143" s="38" t="n"/>
      <c r="C143" s="38" t="n"/>
      <c r="D143" s="38" t="n"/>
      <c r="E143" s="38" t="n"/>
      <c r="F143" s="38" t="n"/>
      <c r="G143" s="39" t="n"/>
      <c r="H143" s="39" t="n"/>
      <c r="I143" s="38" t="n"/>
      <c r="J143" s="40" t="n"/>
      <c r="K143" s="40" t="n"/>
      <c r="L143" s="41" t="n"/>
      <c r="M143" s="41" t="n"/>
      <c r="N143" s="38" t="n"/>
      <c r="O143" s="38" t="n"/>
      <c r="P143" s="38" t="n"/>
      <c r="Q143" s="38">
        <f>IF(B143="","",IF(H143&lt;&gt;"","Inactive","Active"))</f>
        <v/>
      </c>
      <c r="R143" s="21" t="n"/>
    </row>
    <row r="144">
      <c r="A144" s="38" t="n"/>
      <c r="B144" s="38" t="n"/>
      <c r="C144" s="38" t="n"/>
      <c r="D144" s="38" t="n"/>
      <c r="E144" s="38" t="n"/>
      <c r="F144" s="38" t="n"/>
      <c r="G144" s="39" t="n"/>
      <c r="H144" s="39" t="n"/>
      <c r="I144" s="38" t="n"/>
      <c r="J144" s="40" t="n"/>
      <c r="K144" s="40" t="n"/>
      <c r="L144" s="41" t="n"/>
      <c r="M144" s="41" t="n"/>
      <c r="N144" s="38" t="n"/>
      <c r="O144" s="38" t="n"/>
      <c r="P144" s="38" t="n"/>
      <c r="Q144" s="38">
        <f>IF(B144="","",IF(H144&lt;&gt;"","Inactive","Active"))</f>
        <v/>
      </c>
      <c r="R144" s="21" t="n"/>
    </row>
    <row r="145">
      <c r="A145" s="38" t="n"/>
      <c r="B145" s="38" t="n"/>
      <c r="C145" s="38" t="n"/>
      <c r="D145" s="38" t="n"/>
      <c r="E145" s="38" t="n"/>
      <c r="F145" s="38" t="n"/>
      <c r="G145" s="39" t="n"/>
      <c r="H145" s="39" t="n"/>
      <c r="I145" s="38" t="n"/>
      <c r="J145" s="40" t="n"/>
      <c r="K145" s="40" t="n"/>
      <c r="L145" s="41" t="n"/>
      <c r="M145" s="41" t="n"/>
      <c r="N145" s="38" t="n"/>
      <c r="O145" s="38" t="n"/>
      <c r="P145" s="38" t="n"/>
      <c r="Q145" s="38">
        <f>IF(B145="","",IF(H145&lt;&gt;"","Inactive","Active"))</f>
        <v/>
      </c>
      <c r="R145" s="21" t="n"/>
    </row>
    <row r="146">
      <c r="A146" s="38" t="n"/>
      <c r="B146" s="38" t="n"/>
      <c r="C146" s="38" t="n"/>
      <c r="D146" s="38" t="n"/>
      <c r="E146" s="38" t="n"/>
      <c r="F146" s="38" t="n"/>
      <c r="G146" s="39" t="n"/>
      <c r="H146" s="39" t="n"/>
      <c r="I146" s="38" t="n"/>
      <c r="J146" s="40" t="n"/>
      <c r="K146" s="40" t="n"/>
      <c r="L146" s="41" t="n"/>
      <c r="M146" s="41" t="n"/>
      <c r="N146" s="38" t="n"/>
      <c r="O146" s="38" t="n"/>
      <c r="P146" s="38" t="n"/>
      <c r="Q146" s="38">
        <f>IF(B146="","",IF(H146&lt;&gt;"","Inactive","Active"))</f>
        <v/>
      </c>
      <c r="R146" s="21" t="n"/>
    </row>
    <row r="147">
      <c r="A147" s="38" t="n"/>
      <c r="B147" s="38" t="n"/>
      <c r="C147" s="38" t="n"/>
      <c r="D147" s="38" t="n"/>
      <c r="E147" s="38" t="n"/>
      <c r="F147" s="38" t="n"/>
      <c r="G147" s="39" t="n"/>
      <c r="H147" s="39" t="n"/>
      <c r="I147" s="38" t="n"/>
      <c r="J147" s="40" t="n"/>
      <c r="K147" s="40" t="n"/>
      <c r="L147" s="41" t="n"/>
      <c r="M147" s="41" t="n"/>
      <c r="N147" s="38" t="n"/>
      <c r="O147" s="38" t="n"/>
      <c r="P147" s="38" t="n"/>
      <c r="Q147" s="38">
        <f>IF(B147="","",IF(H147&lt;&gt;"","Inactive","Active"))</f>
        <v/>
      </c>
      <c r="R147" s="21" t="n"/>
    </row>
    <row r="148">
      <c r="A148" s="38" t="n"/>
      <c r="B148" s="38" t="n"/>
      <c r="C148" s="38" t="n"/>
      <c r="D148" s="38" t="n"/>
      <c r="E148" s="38" t="n"/>
      <c r="F148" s="38" t="n"/>
      <c r="G148" s="39" t="n"/>
      <c r="H148" s="39" t="n"/>
      <c r="I148" s="38" t="n"/>
      <c r="J148" s="40" t="n"/>
      <c r="K148" s="40" t="n"/>
      <c r="L148" s="41" t="n"/>
      <c r="M148" s="41" t="n"/>
      <c r="N148" s="38" t="n"/>
      <c r="O148" s="38" t="n"/>
      <c r="P148" s="38" t="n"/>
      <c r="Q148" s="38">
        <f>IF(B148="","",IF(H148&lt;&gt;"","Inactive","Active"))</f>
        <v/>
      </c>
      <c r="R148" s="21" t="n"/>
    </row>
    <row r="149">
      <c r="A149" s="38" t="n"/>
      <c r="B149" s="38" t="n"/>
      <c r="C149" s="38" t="n"/>
      <c r="D149" s="38" t="n"/>
      <c r="E149" s="38" t="n"/>
      <c r="F149" s="38" t="n"/>
      <c r="G149" s="39" t="n"/>
      <c r="H149" s="39" t="n"/>
      <c r="I149" s="38" t="n"/>
      <c r="J149" s="40" t="n"/>
      <c r="K149" s="40" t="n"/>
      <c r="L149" s="41" t="n"/>
      <c r="M149" s="41" t="n"/>
      <c r="N149" s="38" t="n"/>
      <c r="O149" s="38" t="n"/>
      <c r="P149" s="38" t="n"/>
      <c r="Q149" s="38">
        <f>IF(B149="","",IF(H149&lt;&gt;"","Inactive","Active"))</f>
        <v/>
      </c>
      <c r="R149" s="21" t="n"/>
    </row>
    <row r="150">
      <c r="A150" s="38" t="n"/>
      <c r="B150" s="38" t="n"/>
      <c r="C150" s="38" t="n"/>
      <c r="D150" s="38" t="n"/>
      <c r="E150" s="38" t="n"/>
      <c r="F150" s="38" t="n"/>
      <c r="G150" s="39" t="n"/>
      <c r="H150" s="39" t="n"/>
      <c r="I150" s="38" t="n"/>
      <c r="J150" s="40" t="n"/>
      <c r="K150" s="40" t="n"/>
      <c r="L150" s="41" t="n"/>
      <c r="M150" s="41" t="n"/>
      <c r="N150" s="38" t="n"/>
      <c r="O150" s="38" t="n"/>
      <c r="P150" s="38" t="n"/>
      <c r="Q150" s="38">
        <f>IF(B150="","",IF(H150&lt;&gt;"","Inactive","Active"))</f>
        <v/>
      </c>
      <c r="R150" s="21" t="n"/>
    </row>
    <row r="151">
      <c r="A151" s="38" t="n"/>
      <c r="B151" s="38" t="n"/>
      <c r="C151" s="38" t="n"/>
      <c r="D151" s="38" t="n"/>
      <c r="E151" s="38" t="n"/>
      <c r="F151" s="38" t="n"/>
      <c r="G151" s="39" t="n"/>
      <c r="H151" s="39" t="n"/>
      <c r="I151" s="38" t="n"/>
      <c r="J151" s="40" t="n"/>
      <c r="K151" s="40" t="n"/>
      <c r="L151" s="41" t="n"/>
      <c r="M151" s="41" t="n"/>
      <c r="N151" s="38" t="n"/>
      <c r="O151" s="38" t="n"/>
      <c r="P151" s="38" t="n"/>
      <c r="Q151" s="38">
        <f>IF(B151="","",IF(H151&lt;&gt;"","Inactive","Active"))</f>
        <v/>
      </c>
      <c r="R151" s="21" t="n"/>
    </row>
    <row r="152">
      <c r="A152" s="38" t="n"/>
      <c r="B152" s="38" t="n"/>
      <c r="C152" s="38" t="n"/>
      <c r="D152" s="38" t="n"/>
      <c r="E152" s="38" t="n"/>
      <c r="F152" s="38" t="n"/>
      <c r="G152" s="39" t="n"/>
      <c r="H152" s="39" t="n"/>
      <c r="I152" s="38" t="n"/>
      <c r="J152" s="40" t="n"/>
      <c r="K152" s="40" t="n"/>
      <c r="L152" s="41" t="n"/>
      <c r="M152" s="41" t="n"/>
      <c r="N152" s="38" t="n"/>
      <c r="O152" s="38" t="n"/>
      <c r="P152" s="38" t="n"/>
      <c r="Q152" s="38">
        <f>IF(B152="","",IF(H152&lt;&gt;"","Inactive","Active"))</f>
        <v/>
      </c>
      <c r="R152" s="21" t="n"/>
    </row>
    <row r="153">
      <c r="A153" s="38" t="n"/>
      <c r="B153" s="38" t="n"/>
      <c r="C153" s="38" t="n"/>
      <c r="D153" s="38" t="n"/>
      <c r="E153" s="38" t="n"/>
      <c r="F153" s="38" t="n"/>
      <c r="G153" s="39" t="n"/>
      <c r="H153" s="39" t="n"/>
      <c r="I153" s="38" t="n"/>
      <c r="J153" s="40" t="n"/>
      <c r="K153" s="40" t="n"/>
      <c r="L153" s="41" t="n"/>
      <c r="M153" s="41" t="n"/>
      <c r="N153" s="38" t="n"/>
      <c r="O153" s="38" t="n"/>
      <c r="P153" s="38" t="n"/>
      <c r="Q153" s="38">
        <f>IF(B153="","",IF(H153&lt;&gt;"","Inactive","Active"))</f>
        <v/>
      </c>
      <c r="R153" s="21" t="n"/>
    </row>
    <row r="154">
      <c r="A154" s="38" t="n"/>
      <c r="B154" s="38" t="n"/>
      <c r="C154" s="38" t="n"/>
      <c r="D154" s="38" t="n"/>
      <c r="E154" s="38" t="n"/>
      <c r="F154" s="38" t="n"/>
      <c r="G154" s="39" t="n"/>
      <c r="H154" s="39" t="n"/>
      <c r="I154" s="38" t="n"/>
      <c r="J154" s="40" t="n"/>
      <c r="K154" s="40" t="n"/>
      <c r="L154" s="41" t="n"/>
      <c r="M154" s="41" t="n"/>
      <c r="N154" s="38" t="n"/>
      <c r="O154" s="38" t="n"/>
      <c r="P154" s="38" t="n"/>
      <c r="Q154" s="38">
        <f>IF(B154="","",IF(H154&lt;&gt;"","Inactive","Active"))</f>
        <v/>
      </c>
      <c r="R154" s="21" t="n"/>
    </row>
    <row r="155">
      <c r="A155" s="38" t="n"/>
      <c r="B155" s="38" t="n"/>
      <c r="C155" s="38" t="n"/>
      <c r="D155" s="38" t="n"/>
      <c r="E155" s="38" t="n"/>
      <c r="F155" s="38" t="n"/>
      <c r="G155" s="39" t="n"/>
      <c r="H155" s="39" t="n"/>
      <c r="I155" s="38" t="n"/>
      <c r="J155" s="40" t="n"/>
      <c r="K155" s="40" t="n"/>
      <c r="L155" s="41" t="n"/>
      <c r="M155" s="41" t="n"/>
      <c r="N155" s="38" t="n"/>
      <c r="O155" s="38" t="n"/>
      <c r="P155" s="38" t="n"/>
      <c r="Q155" s="38">
        <f>IF(B155="","",IF(H155&lt;&gt;"","Inactive","Active"))</f>
        <v/>
      </c>
      <c r="R155" s="21" t="n"/>
    </row>
    <row r="156">
      <c r="A156" s="38" t="n"/>
      <c r="B156" s="38" t="n"/>
      <c r="C156" s="38" t="n"/>
      <c r="D156" s="38" t="n"/>
      <c r="E156" s="38" t="n"/>
      <c r="F156" s="38" t="n"/>
      <c r="G156" s="39" t="n"/>
      <c r="H156" s="39" t="n"/>
      <c r="I156" s="38" t="n"/>
      <c r="J156" s="40" t="n"/>
      <c r="K156" s="40" t="n"/>
      <c r="L156" s="41" t="n"/>
      <c r="M156" s="41" t="n"/>
      <c r="N156" s="38" t="n"/>
      <c r="O156" s="38" t="n"/>
      <c r="P156" s="38" t="n"/>
      <c r="Q156" s="38">
        <f>IF(B156="","",IF(H156&lt;&gt;"","Inactive","Active"))</f>
        <v/>
      </c>
      <c r="R156" s="21" t="n"/>
    </row>
    <row r="157">
      <c r="A157" s="38" t="n"/>
      <c r="B157" s="38" t="n"/>
      <c r="C157" s="38" t="n"/>
      <c r="D157" s="38" t="n"/>
      <c r="E157" s="38" t="n"/>
      <c r="F157" s="38" t="n"/>
      <c r="G157" s="39" t="n"/>
      <c r="H157" s="39" t="n"/>
      <c r="I157" s="38" t="n"/>
      <c r="J157" s="40" t="n"/>
      <c r="K157" s="40" t="n"/>
      <c r="L157" s="41" t="n"/>
      <c r="M157" s="41" t="n"/>
      <c r="N157" s="38" t="n"/>
      <c r="O157" s="38" t="n"/>
      <c r="P157" s="38" t="n"/>
      <c r="Q157" s="38">
        <f>IF(B157="","",IF(H157&lt;&gt;"","Inactive","Active"))</f>
        <v/>
      </c>
      <c r="R157" s="21" t="n"/>
    </row>
    <row r="158">
      <c r="A158" s="38" t="n"/>
      <c r="B158" s="38" t="n"/>
      <c r="C158" s="38" t="n"/>
      <c r="D158" s="38" t="n"/>
      <c r="E158" s="38" t="n"/>
      <c r="F158" s="38" t="n"/>
      <c r="G158" s="39" t="n"/>
      <c r="H158" s="39" t="n"/>
      <c r="I158" s="38" t="n"/>
      <c r="J158" s="40" t="n"/>
      <c r="K158" s="40" t="n"/>
      <c r="L158" s="41" t="n"/>
      <c r="M158" s="41" t="n"/>
      <c r="N158" s="38" t="n"/>
      <c r="O158" s="38" t="n"/>
      <c r="P158" s="38" t="n"/>
      <c r="Q158" s="38">
        <f>IF(B158="","",IF(H158&lt;&gt;"","Inactive","Active"))</f>
        <v/>
      </c>
      <c r="R158" s="21" t="n"/>
    </row>
    <row r="159">
      <c r="A159" s="38" t="n"/>
      <c r="B159" s="38" t="n"/>
      <c r="C159" s="38" t="n"/>
      <c r="D159" s="38" t="n"/>
      <c r="E159" s="38" t="n"/>
      <c r="F159" s="38" t="n"/>
      <c r="G159" s="39" t="n"/>
      <c r="H159" s="39" t="n"/>
      <c r="I159" s="38" t="n"/>
      <c r="J159" s="40" t="n"/>
      <c r="K159" s="40" t="n"/>
      <c r="L159" s="41" t="n"/>
      <c r="M159" s="41" t="n"/>
      <c r="N159" s="38" t="n"/>
      <c r="O159" s="38" t="n"/>
      <c r="P159" s="38" t="n"/>
      <c r="Q159" s="38">
        <f>IF(B159="","",IF(H159&lt;&gt;"","Inactive","Active"))</f>
        <v/>
      </c>
      <c r="R159" s="21" t="n"/>
    </row>
    <row r="160">
      <c r="A160" s="38" t="n"/>
      <c r="B160" s="38" t="n"/>
      <c r="C160" s="38" t="n"/>
      <c r="D160" s="38" t="n"/>
      <c r="E160" s="38" t="n"/>
      <c r="F160" s="38" t="n"/>
      <c r="G160" s="39" t="n"/>
      <c r="H160" s="39" t="n"/>
      <c r="I160" s="38" t="n"/>
      <c r="J160" s="40" t="n"/>
      <c r="K160" s="40" t="n"/>
      <c r="L160" s="41" t="n"/>
      <c r="M160" s="41" t="n"/>
      <c r="N160" s="38" t="n"/>
      <c r="O160" s="38" t="n"/>
      <c r="P160" s="38" t="n"/>
      <c r="Q160" s="38">
        <f>IF(B160="","",IF(H160&lt;&gt;"","Inactive","Active"))</f>
        <v/>
      </c>
      <c r="R160" s="21" t="n"/>
    </row>
    <row r="161">
      <c r="A161" s="38" t="n"/>
      <c r="B161" s="38" t="n"/>
      <c r="C161" s="38" t="n"/>
      <c r="D161" s="38" t="n"/>
      <c r="E161" s="38" t="n"/>
      <c r="F161" s="38" t="n"/>
      <c r="G161" s="39" t="n"/>
      <c r="H161" s="39" t="n"/>
      <c r="I161" s="38" t="n"/>
      <c r="J161" s="40" t="n"/>
      <c r="K161" s="40" t="n"/>
      <c r="L161" s="41" t="n"/>
      <c r="M161" s="41" t="n"/>
      <c r="N161" s="38" t="n"/>
      <c r="O161" s="38" t="n"/>
      <c r="P161" s="38" t="n"/>
      <c r="Q161" s="38">
        <f>IF(B161="","",IF(H161&lt;&gt;"","Inactive","Active"))</f>
        <v/>
      </c>
      <c r="R161" s="21" t="n"/>
    </row>
    <row r="162">
      <c r="A162" s="38" t="n"/>
      <c r="B162" s="38" t="n"/>
      <c r="C162" s="38" t="n"/>
      <c r="D162" s="38" t="n"/>
      <c r="E162" s="38" t="n"/>
      <c r="F162" s="38" t="n"/>
      <c r="G162" s="39" t="n"/>
      <c r="H162" s="39" t="n"/>
      <c r="I162" s="38" t="n"/>
      <c r="J162" s="40" t="n"/>
      <c r="K162" s="40" t="n"/>
      <c r="L162" s="41" t="n"/>
      <c r="M162" s="41" t="n"/>
      <c r="N162" s="38" t="n"/>
      <c r="O162" s="38" t="n"/>
      <c r="P162" s="38" t="n"/>
      <c r="Q162" s="38">
        <f>IF(B162="","",IF(H162&lt;&gt;"","Inactive","Active"))</f>
        <v/>
      </c>
      <c r="R162" s="21" t="n"/>
    </row>
    <row r="163">
      <c r="A163" s="38" t="n"/>
      <c r="B163" s="38" t="n"/>
      <c r="C163" s="38" t="n"/>
      <c r="D163" s="38" t="n"/>
      <c r="E163" s="38" t="n"/>
      <c r="F163" s="38" t="n"/>
      <c r="G163" s="39" t="n"/>
      <c r="H163" s="39" t="n"/>
      <c r="I163" s="38" t="n"/>
      <c r="J163" s="40" t="n"/>
      <c r="K163" s="40" t="n"/>
      <c r="L163" s="41" t="n"/>
      <c r="M163" s="41" t="n"/>
      <c r="N163" s="38" t="n"/>
      <c r="O163" s="38" t="n"/>
      <c r="P163" s="38" t="n"/>
      <c r="Q163" s="38">
        <f>IF(B163="","",IF(H163&lt;&gt;"","Inactive","Active"))</f>
        <v/>
      </c>
      <c r="R163" s="21" t="n"/>
    </row>
    <row r="164">
      <c r="A164" s="38" t="n"/>
      <c r="B164" s="38" t="n"/>
      <c r="C164" s="38" t="n"/>
      <c r="D164" s="38" t="n"/>
      <c r="E164" s="38" t="n"/>
      <c r="F164" s="38" t="n"/>
      <c r="G164" s="39" t="n"/>
      <c r="H164" s="39" t="n"/>
      <c r="I164" s="38" t="n"/>
      <c r="J164" s="40" t="n"/>
      <c r="K164" s="40" t="n"/>
      <c r="L164" s="41" t="n"/>
      <c r="M164" s="41" t="n"/>
      <c r="N164" s="38" t="n"/>
      <c r="O164" s="38" t="n"/>
      <c r="P164" s="38" t="n"/>
      <c r="Q164" s="38">
        <f>IF(B164="","",IF(H164&lt;&gt;"","Inactive","Active"))</f>
        <v/>
      </c>
      <c r="R164" s="21" t="n"/>
    </row>
    <row r="165">
      <c r="A165" s="38" t="n"/>
      <c r="B165" s="38" t="n"/>
      <c r="C165" s="38" t="n"/>
      <c r="D165" s="38" t="n"/>
      <c r="E165" s="38" t="n"/>
      <c r="F165" s="38" t="n"/>
      <c r="G165" s="39" t="n"/>
      <c r="H165" s="39" t="n"/>
      <c r="I165" s="38" t="n"/>
      <c r="J165" s="40" t="n"/>
      <c r="K165" s="40" t="n"/>
      <c r="L165" s="41" t="n"/>
      <c r="M165" s="41" t="n"/>
      <c r="N165" s="38" t="n"/>
      <c r="O165" s="38" t="n"/>
      <c r="P165" s="38" t="n"/>
      <c r="Q165" s="38">
        <f>IF(B165="","",IF(H165&lt;&gt;"","Inactive","Active"))</f>
        <v/>
      </c>
      <c r="R165" s="21" t="n"/>
    </row>
    <row r="166">
      <c r="A166" s="38" t="n"/>
      <c r="B166" s="38" t="n"/>
      <c r="C166" s="38" t="n"/>
      <c r="D166" s="38" t="n"/>
      <c r="E166" s="38" t="n"/>
      <c r="F166" s="38" t="n"/>
      <c r="G166" s="39" t="n"/>
      <c r="H166" s="39" t="n"/>
      <c r="I166" s="38" t="n"/>
      <c r="J166" s="40" t="n"/>
      <c r="K166" s="40" t="n"/>
      <c r="L166" s="41" t="n"/>
      <c r="M166" s="41" t="n"/>
      <c r="N166" s="38" t="n"/>
      <c r="O166" s="38" t="n"/>
      <c r="P166" s="38" t="n"/>
      <c r="Q166" s="38">
        <f>IF(B166="","",IF(H166&lt;&gt;"","Inactive","Active"))</f>
        <v/>
      </c>
      <c r="R166" s="21" t="n"/>
    </row>
    <row r="167">
      <c r="A167" s="38" t="n"/>
      <c r="B167" s="38" t="n"/>
      <c r="C167" s="38" t="n"/>
      <c r="D167" s="38" t="n"/>
      <c r="E167" s="38" t="n"/>
      <c r="F167" s="38" t="n"/>
      <c r="G167" s="39" t="n"/>
      <c r="H167" s="39" t="n"/>
      <c r="I167" s="38" t="n"/>
      <c r="J167" s="40" t="n"/>
      <c r="K167" s="40" t="n"/>
      <c r="L167" s="41" t="n"/>
      <c r="M167" s="41" t="n"/>
      <c r="N167" s="38" t="n"/>
      <c r="O167" s="38" t="n"/>
      <c r="P167" s="38" t="n"/>
      <c r="Q167" s="38">
        <f>IF(B167="","",IF(H167&lt;&gt;"","Inactive","Active"))</f>
        <v/>
      </c>
      <c r="R167" s="21" t="n"/>
    </row>
    <row r="168">
      <c r="A168" s="38" t="n"/>
      <c r="B168" s="38" t="n"/>
      <c r="C168" s="38" t="n"/>
      <c r="D168" s="38" t="n"/>
      <c r="E168" s="38" t="n"/>
      <c r="F168" s="38" t="n"/>
      <c r="G168" s="39" t="n"/>
      <c r="H168" s="39" t="n"/>
      <c r="I168" s="38" t="n"/>
      <c r="J168" s="40" t="n"/>
      <c r="K168" s="40" t="n"/>
      <c r="L168" s="41" t="n"/>
      <c r="M168" s="41" t="n"/>
      <c r="N168" s="38" t="n"/>
      <c r="O168" s="38" t="n"/>
      <c r="P168" s="38" t="n"/>
      <c r="Q168" s="38">
        <f>IF(B168="","",IF(H168&lt;&gt;"","Inactive","Active"))</f>
        <v/>
      </c>
      <c r="R168" s="21" t="n"/>
    </row>
    <row r="169">
      <c r="A169" s="38" t="n"/>
      <c r="B169" s="38" t="n"/>
      <c r="C169" s="38" t="n"/>
      <c r="D169" s="38" t="n"/>
      <c r="E169" s="38" t="n"/>
      <c r="F169" s="38" t="n"/>
      <c r="G169" s="39" t="n"/>
      <c r="H169" s="39" t="n"/>
      <c r="I169" s="38" t="n"/>
      <c r="J169" s="40" t="n"/>
      <c r="K169" s="40" t="n"/>
      <c r="L169" s="41" t="n"/>
      <c r="M169" s="41" t="n"/>
      <c r="N169" s="38" t="n"/>
      <c r="O169" s="38" t="n"/>
      <c r="P169" s="38" t="n"/>
      <c r="Q169" s="38">
        <f>IF(B169="","",IF(H169&lt;&gt;"","Inactive","Active"))</f>
        <v/>
      </c>
      <c r="R169" s="21" t="n"/>
    </row>
    <row r="170">
      <c r="A170" s="38" t="n"/>
      <c r="B170" s="38" t="n"/>
      <c r="C170" s="38" t="n"/>
      <c r="D170" s="38" t="n"/>
      <c r="E170" s="38" t="n"/>
      <c r="F170" s="38" t="n"/>
      <c r="G170" s="39" t="n"/>
      <c r="H170" s="39" t="n"/>
      <c r="I170" s="38" t="n"/>
      <c r="J170" s="40" t="n"/>
      <c r="K170" s="40" t="n"/>
      <c r="L170" s="41" t="n"/>
      <c r="M170" s="41" t="n"/>
      <c r="N170" s="38" t="n"/>
      <c r="O170" s="38" t="n"/>
      <c r="P170" s="38" t="n"/>
      <c r="Q170" s="38">
        <f>IF(B170="","",IF(H170&lt;&gt;"","Inactive","Active"))</f>
        <v/>
      </c>
      <c r="R170" s="21" t="n"/>
    </row>
    <row r="171">
      <c r="A171" s="38" t="n"/>
      <c r="B171" s="38" t="n"/>
      <c r="C171" s="38" t="n"/>
      <c r="D171" s="38" t="n"/>
      <c r="E171" s="38" t="n"/>
      <c r="F171" s="38" t="n"/>
      <c r="G171" s="39" t="n"/>
      <c r="H171" s="39" t="n"/>
      <c r="I171" s="38" t="n"/>
      <c r="J171" s="40" t="n"/>
      <c r="K171" s="40" t="n"/>
      <c r="L171" s="41" t="n"/>
      <c r="M171" s="41" t="n"/>
      <c r="N171" s="38" t="n"/>
      <c r="O171" s="38" t="n"/>
      <c r="P171" s="38" t="n"/>
      <c r="Q171" s="38">
        <f>IF(B171="","",IF(H171&lt;&gt;"","Inactive","Active"))</f>
        <v/>
      </c>
      <c r="R171" s="21" t="n"/>
    </row>
    <row r="172">
      <c r="A172" s="38" t="n"/>
      <c r="B172" s="38" t="n"/>
      <c r="C172" s="38" t="n"/>
      <c r="D172" s="38" t="n"/>
      <c r="E172" s="38" t="n"/>
      <c r="F172" s="38" t="n"/>
      <c r="G172" s="39" t="n"/>
      <c r="H172" s="39" t="n"/>
      <c r="I172" s="38" t="n"/>
      <c r="J172" s="40" t="n"/>
      <c r="K172" s="40" t="n"/>
      <c r="L172" s="41" t="n"/>
      <c r="M172" s="41" t="n"/>
      <c r="N172" s="38" t="n"/>
      <c r="O172" s="38" t="n"/>
      <c r="P172" s="38" t="n"/>
      <c r="Q172" s="38">
        <f>IF(B172="","",IF(H172&lt;&gt;"","Inactive","Active"))</f>
        <v/>
      </c>
      <c r="R172" s="21" t="n"/>
    </row>
    <row r="173">
      <c r="A173" s="38" t="n"/>
      <c r="B173" s="38" t="n"/>
      <c r="C173" s="38" t="n"/>
      <c r="D173" s="38" t="n"/>
      <c r="E173" s="38" t="n"/>
      <c r="F173" s="38" t="n"/>
      <c r="G173" s="39" t="n"/>
      <c r="H173" s="39" t="n"/>
      <c r="I173" s="38" t="n"/>
      <c r="J173" s="40" t="n"/>
      <c r="K173" s="40" t="n"/>
      <c r="L173" s="41" t="n"/>
      <c r="M173" s="41" t="n"/>
      <c r="N173" s="38" t="n"/>
      <c r="O173" s="38" t="n"/>
      <c r="P173" s="38" t="n"/>
      <c r="Q173" s="38">
        <f>IF(B173="","",IF(H173&lt;&gt;"","Inactive","Active"))</f>
        <v/>
      </c>
      <c r="R173" s="21" t="n"/>
    </row>
    <row r="174">
      <c r="A174" s="38" t="n"/>
      <c r="B174" s="38" t="n"/>
      <c r="C174" s="38" t="n"/>
      <c r="D174" s="38" t="n"/>
      <c r="E174" s="38" t="n"/>
      <c r="F174" s="38" t="n"/>
      <c r="G174" s="39" t="n"/>
      <c r="H174" s="39" t="n"/>
      <c r="I174" s="38" t="n"/>
      <c r="J174" s="40" t="n"/>
      <c r="K174" s="40" t="n"/>
      <c r="L174" s="41" t="n"/>
      <c r="M174" s="41" t="n"/>
      <c r="N174" s="38" t="n"/>
      <c r="O174" s="38" t="n"/>
      <c r="P174" s="38" t="n"/>
      <c r="Q174" s="38">
        <f>IF(B174="","",IF(H174&lt;&gt;"","Inactive","Active"))</f>
        <v/>
      </c>
      <c r="R174" s="21" t="n"/>
    </row>
    <row r="175">
      <c r="A175" s="38" t="n"/>
      <c r="B175" s="38" t="n"/>
      <c r="C175" s="38" t="n"/>
      <c r="D175" s="38" t="n"/>
      <c r="E175" s="38" t="n"/>
      <c r="F175" s="38" t="n"/>
      <c r="G175" s="39" t="n"/>
      <c r="H175" s="39" t="n"/>
      <c r="I175" s="38" t="n"/>
      <c r="J175" s="40" t="n"/>
      <c r="K175" s="40" t="n"/>
      <c r="L175" s="41" t="n"/>
      <c r="M175" s="41" t="n"/>
      <c r="N175" s="38" t="n"/>
      <c r="O175" s="38" t="n"/>
      <c r="P175" s="38" t="n"/>
      <c r="Q175" s="38">
        <f>IF(B175="","",IF(H175&lt;&gt;"","Inactive","Active"))</f>
        <v/>
      </c>
      <c r="R175" s="21" t="n"/>
    </row>
    <row r="176">
      <c r="A176" s="38" t="n"/>
      <c r="B176" s="38" t="n"/>
      <c r="C176" s="38" t="n"/>
      <c r="D176" s="38" t="n"/>
      <c r="E176" s="38" t="n"/>
      <c r="F176" s="38" t="n"/>
      <c r="G176" s="39" t="n"/>
      <c r="H176" s="39" t="n"/>
      <c r="I176" s="38" t="n"/>
      <c r="J176" s="40" t="n"/>
      <c r="K176" s="40" t="n"/>
      <c r="L176" s="41" t="n"/>
      <c r="M176" s="41" t="n"/>
      <c r="N176" s="38" t="n"/>
      <c r="O176" s="38" t="n"/>
      <c r="P176" s="38" t="n"/>
      <c r="Q176" s="38">
        <f>IF(B176="","",IF(H176&lt;&gt;"","Inactive","Active"))</f>
        <v/>
      </c>
      <c r="R176" s="21" t="n"/>
    </row>
    <row r="177">
      <c r="A177" s="38" t="n"/>
      <c r="B177" s="38" t="n"/>
      <c r="C177" s="38" t="n"/>
      <c r="D177" s="38" t="n"/>
      <c r="E177" s="38" t="n"/>
      <c r="F177" s="38" t="n"/>
      <c r="G177" s="39" t="n"/>
      <c r="H177" s="39" t="n"/>
      <c r="I177" s="38" t="n"/>
      <c r="J177" s="40" t="n"/>
      <c r="K177" s="40" t="n"/>
      <c r="L177" s="41" t="n"/>
      <c r="M177" s="41" t="n"/>
      <c r="N177" s="38" t="n"/>
      <c r="O177" s="38" t="n"/>
      <c r="P177" s="38" t="n"/>
      <c r="Q177" s="38">
        <f>IF(B177="","",IF(H177&lt;&gt;"","Inactive","Active"))</f>
        <v/>
      </c>
      <c r="R177" s="21" t="n"/>
    </row>
    <row r="178">
      <c r="A178" s="38" t="n"/>
      <c r="B178" s="38" t="n"/>
      <c r="C178" s="38" t="n"/>
      <c r="D178" s="38" t="n"/>
      <c r="E178" s="38" t="n"/>
      <c r="F178" s="38" t="n"/>
      <c r="G178" s="39" t="n"/>
      <c r="H178" s="39" t="n"/>
      <c r="I178" s="38" t="n"/>
      <c r="J178" s="40" t="n"/>
      <c r="K178" s="40" t="n"/>
      <c r="L178" s="41" t="n"/>
      <c r="M178" s="41" t="n"/>
      <c r="N178" s="38" t="n"/>
      <c r="O178" s="38" t="n"/>
      <c r="P178" s="38" t="n"/>
      <c r="Q178" s="38">
        <f>IF(B178="","",IF(H178&lt;&gt;"","Inactive","Active"))</f>
        <v/>
      </c>
      <c r="R178" s="21" t="n"/>
    </row>
    <row r="179">
      <c r="A179" s="38" t="n"/>
      <c r="B179" s="38" t="n"/>
      <c r="C179" s="38" t="n"/>
      <c r="D179" s="38" t="n"/>
      <c r="E179" s="38" t="n"/>
      <c r="F179" s="38" t="n"/>
      <c r="G179" s="39" t="n"/>
      <c r="H179" s="39" t="n"/>
      <c r="I179" s="38" t="n"/>
      <c r="J179" s="40" t="n"/>
      <c r="K179" s="40" t="n"/>
      <c r="L179" s="41" t="n"/>
      <c r="M179" s="41" t="n"/>
      <c r="N179" s="38" t="n"/>
      <c r="O179" s="38" t="n"/>
      <c r="P179" s="38" t="n"/>
      <c r="Q179" s="38">
        <f>IF(B179="","",IF(H179&lt;&gt;"","Inactive","Active"))</f>
        <v/>
      </c>
      <c r="R179" s="21" t="n"/>
    </row>
    <row r="180">
      <c r="A180" s="38" t="n"/>
      <c r="B180" s="38" t="n"/>
      <c r="C180" s="38" t="n"/>
      <c r="D180" s="38" t="n"/>
      <c r="E180" s="38" t="n"/>
      <c r="F180" s="38" t="n"/>
      <c r="G180" s="39" t="n"/>
      <c r="H180" s="39" t="n"/>
      <c r="I180" s="38" t="n"/>
      <c r="J180" s="40" t="n"/>
      <c r="K180" s="40" t="n"/>
      <c r="L180" s="41" t="n"/>
      <c r="M180" s="41" t="n"/>
      <c r="N180" s="38" t="n"/>
      <c r="O180" s="38" t="n"/>
      <c r="P180" s="38" t="n"/>
      <c r="Q180" s="38">
        <f>IF(B180="","",IF(H180&lt;&gt;"","Inactive","Active"))</f>
        <v/>
      </c>
      <c r="R180" s="21" t="n"/>
    </row>
    <row r="181">
      <c r="A181" s="38" t="n"/>
      <c r="B181" s="38" t="n"/>
      <c r="C181" s="38" t="n"/>
      <c r="D181" s="38" t="n"/>
      <c r="E181" s="38" t="n"/>
      <c r="F181" s="38" t="n"/>
      <c r="G181" s="39" t="n"/>
      <c r="H181" s="39" t="n"/>
      <c r="I181" s="38" t="n"/>
      <c r="J181" s="40" t="n"/>
      <c r="K181" s="40" t="n"/>
      <c r="L181" s="41" t="n"/>
      <c r="M181" s="41" t="n"/>
      <c r="N181" s="38" t="n"/>
      <c r="O181" s="38" t="n"/>
      <c r="P181" s="38" t="n"/>
      <c r="Q181" s="38">
        <f>IF(B181="","",IF(H181&lt;&gt;"","Inactive","Active"))</f>
        <v/>
      </c>
      <c r="R181" s="21" t="n"/>
    </row>
    <row r="182">
      <c r="A182" s="38" t="n"/>
      <c r="B182" s="38" t="n"/>
      <c r="C182" s="38" t="n"/>
      <c r="D182" s="38" t="n"/>
      <c r="E182" s="38" t="n"/>
      <c r="F182" s="38" t="n"/>
      <c r="G182" s="39" t="n"/>
      <c r="H182" s="39" t="n"/>
      <c r="I182" s="38" t="n"/>
      <c r="J182" s="40" t="n"/>
      <c r="K182" s="40" t="n"/>
      <c r="L182" s="41" t="n"/>
      <c r="M182" s="41" t="n"/>
      <c r="N182" s="38" t="n"/>
      <c r="O182" s="38" t="n"/>
      <c r="P182" s="38" t="n"/>
      <c r="Q182" s="38">
        <f>IF(B182="","",IF(H182&lt;&gt;"","Inactive","Active"))</f>
        <v/>
      </c>
      <c r="R182" s="21" t="n"/>
    </row>
    <row r="183">
      <c r="A183" s="38" t="n"/>
      <c r="B183" s="38" t="n"/>
      <c r="C183" s="38" t="n"/>
      <c r="D183" s="38" t="n"/>
      <c r="E183" s="38" t="n"/>
      <c r="F183" s="38" t="n"/>
      <c r="G183" s="39" t="n"/>
      <c r="H183" s="39" t="n"/>
      <c r="I183" s="38" t="n"/>
      <c r="J183" s="40" t="n"/>
      <c r="K183" s="40" t="n"/>
      <c r="L183" s="41" t="n"/>
      <c r="M183" s="41" t="n"/>
      <c r="N183" s="38" t="n"/>
      <c r="O183" s="38" t="n"/>
      <c r="P183" s="38" t="n"/>
      <c r="Q183" s="38">
        <f>IF(B183="","",IF(H183&lt;&gt;"","Inactive","Active"))</f>
        <v/>
      </c>
      <c r="R183" s="21" t="n"/>
    </row>
    <row r="184">
      <c r="A184" s="38" t="n"/>
      <c r="B184" s="38" t="n"/>
      <c r="C184" s="38" t="n"/>
      <c r="D184" s="38" t="n"/>
      <c r="E184" s="38" t="n"/>
      <c r="F184" s="38" t="n"/>
      <c r="G184" s="39" t="n"/>
      <c r="H184" s="39" t="n"/>
      <c r="I184" s="38" t="n"/>
      <c r="J184" s="40" t="n"/>
      <c r="K184" s="40" t="n"/>
      <c r="L184" s="41" t="n"/>
      <c r="M184" s="41" t="n"/>
      <c r="N184" s="38" t="n"/>
      <c r="O184" s="38" t="n"/>
      <c r="P184" s="38" t="n"/>
      <c r="Q184" s="38">
        <f>IF(B184="","",IF(H184&lt;&gt;"","Inactive","Active"))</f>
        <v/>
      </c>
      <c r="R184" s="21" t="n"/>
    </row>
    <row r="185">
      <c r="A185" s="38" t="n"/>
      <c r="B185" s="38" t="n"/>
      <c r="C185" s="38" t="n"/>
      <c r="D185" s="38" t="n"/>
      <c r="E185" s="38" t="n"/>
      <c r="F185" s="38" t="n"/>
      <c r="G185" s="39" t="n"/>
      <c r="H185" s="39" t="n"/>
      <c r="I185" s="38" t="n"/>
      <c r="J185" s="40" t="n"/>
      <c r="K185" s="40" t="n"/>
      <c r="L185" s="41" t="n"/>
      <c r="M185" s="41" t="n"/>
      <c r="N185" s="38" t="n"/>
      <c r="O185" s="38" t="n"/>
      <c r="P185" s="38" t="n"/>
      <c r="Q185" s="38">
        <f>IF(B185="","",IF(H185&lt;&gt;"","Inactive","Active"))</f>
        <v/>
      </c>
      <c r="R185" s="21" t="n"/>
    </row>
    <row r="186">
      <c r="A186" s="38" t="n"/>
      <c r="B186" s="38" t="n"/>
      <c r="C186" s="38" t="n"/>
      <c r="D186" s="38" t="n"/>
      <c r="E186" s="38" t="n"/>
      <c r="F186" s="38" t="n"/>
      <c r="G186" s="39" t="n"/>
      <c r="H186" s="39" t="n"/>
      <c r="I186" s="38" t="n"/>
      <c r="J186" s="40" t="n"/>
      <c r="K186" s="40" t="n"/>
      <c r="L186" s="41" t="n"/>
      <c r="M186" s="41" t="n"/>
      <c r="N186" s="38" t="n"/>
      <c r="O186" s="38" t="n"/>
      <c r="P186" s="38" t="n"/>
      <c r="Q186" s="38">
        <f>IF(B186="","",IF(H186&lt;&gt;"","Inactive","Active"))</f>
        <v/>
      </c>
      <c r="R186" s="21" t="n"/>
    </row>
    <row r="187">
      <c r="A187" s="38" t="n"/>
      <c r="B187" s="38" t="n"/>
      <c r="C187" s="38" t="n"/>
      <c r="D187" s="38" t="n"/>
      <c r="E187" s="38" t="n"/>
      <c r="F187" s="38" t="n"/>
      <c r="G187" s="39" t="n"/>
      <c r="H187" s="39" t="n"/>
      <c r="I187" s="38" t="n"/>
      <c r="J187" s="40" t="n"/>
      <c r="K187" s="40" t="n"/>
      <c r="L187" s="41" t="n"/>
      <c r="M187" s="41" t="n"/>
      <c r="N187" s="38" t="n"/>
      <c r="O187" s="38" t="n"/>
      <c r="P187" s="38" t="n"/>
      <c r="Q187" s="38">
        <f>IF(B187="","",IF(H187&lt;&gt;"","Inactive","Active"))</f>
        <v/>
      </c>
      <c r="R187" s="21" t="n"/>
    </row>
    <row r="188">
      <c r="A188" s="38" t="n"/>
      <c r="B188" s="38" t="n"/>
      <c r="C188" s="38" t="n"/>
      <c r="D188" s="38" t="n"/>
      <c r="E188" s="38" t="n"/>
      <c r="F188" s="38" t="n"/>
      <c r="G188" s="39" t="n"/>
      <c r="H188" s="39" t="n"/>
      <c r="I188" s="38" t="n"/>
      <c r="J188" s="40" t="n"/>
      <c r="K188" s="40" t="n"/>
      <c r="L188" s="41" t="n"/>
      <c r="M188" s="41" t="n"/>
      <c r="N188" s="38" t="n"/>
      <c r="O188" s="38" t="n"/>
      <c r="P188" s="38" t="n"/>
      <c r="Q188" s="38">
        <f>IF(B188="","",IF(H188&lt;&gt;"","Inactive","Active"))</f>
        <v/>
      </c>
      <c r="R188" s="21" t="n"/>
    </row>
    <row r="189">
      <c r="A189" s="38" t="n"/>
      <c r="B189" s="38" t="n"/>
      <c r="C189" s="38" t="n"/>
      <c r="D189" s="38" t="n"/>
      <c r="E189" s="38" t="n"/>
      <c r="F189" s="38" t="n"/>
      <c r="G189" s="39" t="n"/>
      <c r="H189" s="39" t="n"/>
      <c r="I189" s="38" t="n"/>
      <c r="J189" s="40" t="n"/>
      <c r="K189" s="40" t="n"/>
      <c r="L189" s="41" t="n"/>
      <c r="M189" s="41" t="n"/>
      <c r="N189" s="38" t="n"/>
      <c r="O189" s="38" t="n"/>
      <c r="P189" s="38" t="n"/>
      <c r="Q189" s="38">
        <f>IF(B189="","",IF(H189&lt;&gt;"","Inactive","Active"))</f>
        <v/>
      </c>
      <c r="R189" s="21" t="n"/>
    </row>
    <row r="190">
      <c r="A190" s="38" t="n"/>
      <c r="B190" s="38" t="n"/>
      <c r="C190" s="38" t="n"/>
      <c r="D190" s="38" t="n"/>
      <c r="E190" s="38" t="n"/>
      <c r="F190" s="38" t="n"/>
      <c r="G190" s="39" t="n"/>
      <c r="H190" s="39" t="n"/>
      <c r="I190" s="38" t="n"/>
      <c r="J190" s="40" t="n"/>
      <c r="K190" s="40" t="n"/>
      <c r="L190" s="41" t="n"/>
      <c r="M190" s="41" t="n"/>
      <c r="N190" s="38" t="n"/>
      <c r="O190" s="38" t="n"/>
      <c r="P190" s="38" t="n"/>
      <c r="Q190" s="38">
        <f>IF(B190="","",IF(H190&lt;&gt;"","Inactive","Active"))</f>
        <v/>
      </c>
      <c r="R190" s="21" t="n"/>
    </row>
    <row r="191">
      <c r="A191" s="38" t="n"/>
      <c r="B191" s="38" t="n"/>
      <c r="C191" s="38" t="n"/>
      <c r="D191" s="38" t="n"/>
      <c r="E191" s="38" t="n"/>
      <c r="F191" s="38" t="n"/>
      <c r="G191" s="39" t="n"/>
      <c r="H191" s="39" t="n"/>
      <c r="I191" s="38" t="n"/>
      <c r="J191" s="40" t="n"/>
      <c r="K191" s="40" t="n"/>
      <c r="L191" s="41" t="n"/>
      <c r="M191" s="41" t="n"/>
      <c r="N191" s="38" t="n"/>
      <c r="O191" s="38" t="n"/>
      <c r="P191" s="38" t="n"/>
      <c r="Q191" s="38">
        <f>IF(B191="","",IF(H191&lt;&gt;"","Inactive","Active"))</f>
        <v/>
      </c>
      <c r="R191" s="21" t="n"/>
    </row>
    <row r="192">
      <c r="A192" s="38" t="n"/>
      <c r="B192" s="38" t="n"/>
      <c r="C192" s="38" t="n"/>
      <c r="D192" s="38" t="n"/>
      <c r="E192" s="38" t="n"/>
      <c r="F192" s="38" t="n"/>
      <c r="G192" s="39" t="n"/>
      <c r="H192" s="39" t="n"/>
      <c r="I192" s="38" t="n"/>
      <c r="J192" s="40" t="n"/>
      <c r="K192" s="40" t="n"/>
      <c r="L192" s="41" t="n"/>
      <c r="M192" s="41" t="n"/>
      <c r="N192" s="38" t="n"/>
      <c r="O192" s="38" t="n"/>
      <c r="P192" s="38" t="n"/>
      <c r="Q192" s="38">
        <f>IF(B192="","",IF(H192&lt;&gt;"","Inactive","Active"))</f>
        <v/>
      </c>
      <c r="R192" s="21" t="n"/>
    </row>
    <row r="193">
      <c r="A193" s="38" t="n"/>
      <c r="B193" s="38" t="n"/>
      <c r="C193" s="38" t="n"/>
      <c r="D193" s="38" t="n"/>
      <c r="E193" s="38" t="n"/>
      <c r="F193" s="38" t="n"/>
      <c r="G193" s="39" t="n"/>
      <c r="H193" s="39" t="n"/>
      <c r="I193" s="38" t="n"/>
      <c r="J193" s="40" t="n"/>
      <c r="K193" s="40" t="n"/>
      <c r="L193" s="41" t="n"/>
      <c r="M193" s="41" t="n"/>
      <c r="N193" s="38" t="n"/>
      <c r="O193" s="38" t="n"/>
      <c r="P193" s="38" t="n"/>
      <c r="Q193" s="38">
        <f>IF(B193="","",IF(H193&lt;&gt;"","Inactive","Active"))</f>
        <v/>
      </c>
      <c r="R193" s="21" t="n"/>
    </row>
    <row r="194">
      <c r="A194" s="38" t="n"/>
      <c r="B194" s="38" t="n"/>
      <c r="C194" s="38" t="n"/>
      <c r="D194" s="38" t="n"/>
      <c r="E194" s="38" t="n"/>
      <c r="F194" s="38" t="n"/>
      <c r="G194" s="39" t="n"/>
      <c r="H194" s="39" t="n"/>
      <c r="I194" s="38" t="n"/>
      <c r="J194" s="40" t="n"/>
      <c r="K194" s="40" t="n"/>
      <c r="L194" s="41" t="n"/>
      <c r="M194" s="41" t="n"/>
      <c r="N194" s="38" t="n"/>
      <c r="O194" s="38" t="n"/>
      <c r="P194" s="38" t="n"/>
      <c r="Q194" s="38">
        <f>IF(B194="","",IF(H194&lt;&gt;"","Inactive","Active"))</f>
        <v/>
      </c>
      <c r="R194" s="21" t="n"/>
    </row>
    <row r="195">
      <c r="A195" s="38" t="n"/>
      <c r="B195" s="38" t="n"/>
      <c r="C195" s="38" t="n"/>
      <c r="D195" s="38" t="n"/>
      <c r="E195" s="38" t="n"/>
      <c r="F195" s="38" t="n"/>
      <c r="G195" s="39" t="n"/>
      <c r="H195" s="39" t="n"/>
      <c r="I195" s="38" t="n"/>
      <c r="J195" s="40" t="n"/>
      <c r="K195" s="40" t="n"/>
      <c r="L195" s="41" t="n"/>
      <c r="M195" s="41" t="n"/>
      <c r="N195" s="38" t="n"/>
      <c r="O195" s="38" t="n"/>
      <c r="P195" s="38" t="n"/>
      <c r="Q195" s="38">
        <f>IF(B195="","",IF(H195&lt;&gt;"","Inactive","Active"))</f>
        <v/>
      </c>
      <c r="R195" s="21" t="n"/>
    </row>
    <row r="196">
      <c r="A196" s="38" t="n"/>
      <c r="B196" s="38" t="n"/>
      <c r="C196" s="38" t="n"/>
      <c r="D196" s="38" t="n"/>
      <c r="E196" s="38" t="n"/>
      <c r="F196" s="38" t="n"/>
      <c r="G196" s="39" t="n"/>
      <c r="H196" s="39" t="n"/>
      <c r="I196" s="38" t="n"/>
      <c r="J196" s="40" t="n"/>
      <c r="K196" s="40" t="n"/>
      <c r="L196" s="41" t="n"/>
      <c r="M196" s="41" t="n"/>
      <c r="N196" s="38" t="n"/>
      <c r="O196" s="38" t="n"/>
      <c r="P196" s="38" t="n"/>
      <c r="Q196" s="38">
        <f>IF(B196="","",IF(H196&lt;&gt;"","Inactive","Active"))</f>
        <v/>
      </c>
      <c r="R196" s="21" t="n"/>
    </row>
    <row r="197">
      <c r="A197" s="38" t="n"/>
      <c r="B197" s="38" t="n"/>
      <c r="C197" s="38" t="n"/>
      <c r="D197" s="38" t="n"/>
      <c r="E197" s="38" t="n"/>
      <c r="F197" s="38" t="n"/>
      <c r="G197" s="39" t="n"/>
      <c r="H197" s="39" t="n"/>
      <c r="I197" s="38" t="n"/>
      <c r="J197" s="40" t="n"/>
      <c r="K197" s="40" t="n"/>
      <c r="L197" s="41" t="n"/>
      <c r="M197" s="41" t="n"/>
      <c r="N197" s="38" t="n"/>
      <c r="O197" s="38" t="n"/>
      <c r="P197" s="38" t="n"/>
      <c r="Q197" s="38">
        <f>IF(B197="","",IF(H197&lt;&gt;"","Inactive","Active"))</f>
        <v/>
      </c>
      <c r="R197" s="21" t="n"/>
    </row>
    <row r="198">
      <c r="A198" s="38" t="n"/>
      <c r="B198" s="38" t="n"/>
      <c r="C198" s="38" t="n"/>
      <c r="D198" s="38" t="n"/>
      <c r="E198" s="38" t="n"/>
      <c r="F198" s="38" t="n"/>
      <c r="G198" s="39" t="n"/>
      <c r="H198" s="39" t="n"/>
      <c r="I198" s="38" t="n"/>
      <c r="J198" s="40" t="n"/>
      <c r="K198" s="40" t="n"/>
      <c r="L198" s="41" t="n"/>
      <c r="M198" s="41" t="n"/>
      <c r="N198" s="38" t="n"/>
      <c r="O198" s="38" t="n"/>
      <c r="P198" s="38" t="n"/>
      <c r="Q198" s="38">
        <f>IF(B198="","",IF(H198&lt;&gt;"","Inactive","Active"))</f>
        <v/>
      </c>
      <c r="R198" s="21" t="n"/>
    </row>
    <row r="199">
      <c r="A199" s="38" t="n"/>
      <c r="B199" s="38" t="n"/>
      <c r="C199" s="38" t="n"/>
      <c r="D199" s="38" t="n"/>
      <c r="E199" s="38" t="n"/>
      <c r="F199" s="38" t="n"/>
      <c r="G199" s="39" t="n"/>
      <c r="H199" s="39" t="n"/>
      <c r="I199" s="38" t="n"/>
      <c r="J199" s="40" t="n"/>
      <c r="K199" s="40" t="n"/>
      <c r="L199" s="41" t="n"/>
      <c r="M199" s="41" t="n"/>
      <c r="N199" s="38" t="n"/>
      <c r="O199" s="38" t="n"/>
      <c r="P199" s="38" t="n"/>
      <c r="Q199" s="38">
        <f>IF(B199="","",IF(H199&lt;&gt;"","Inactive","Active"))</f>
        <v/>
      </c>
      <c r="R199" s="21" t="n"/>
    </row>
    <row r="200">
      <c r="A200" s="38" t="n"/>
      <c r="B200" s="38" t="n"/>
      <c r="C200" s="38" t="n"/>
      <c r="D200" s="38" t="n"/>
      <c r="E200" s="38" t="n"/>
      <c r="F200" s="38" t="n"/>
      <c r="G200" s="39" t="n"/>
      <c r="H200" s="39" t="n"/>
      <c r="I200" s="38" t="n"/>
      <c r="J200" s="40" t="n"/>
      <c r="K200" s="40" t="n"/>
      <c r="L200" s="41" t="n"/>
      <c r="M200" s="41" t="n"/>
      <c r="N200" s="38" t="n"/>
      <c r="O200" s="38" t="n"/>
      <c r="P200" s="38" t="n"/>
      <c r="Q200" s="38">
        <f>IF(B200="","",IF(H200&lt;&gt;"","Inactive","Active"))</f>
        <v/>
      </c>
      <c r="R200" s="21" t="n"/>
    </row>
    <row r="201">
      <c r="A201" s="38" t="n"/>
      <c r="B201" s="38" t="n"/>
      <c r="C201" s="38" t="n"/>
      <c r="D201" s="38" t="n"/>
      <c r="E201" s="38" t="n"/>
      <c r="F201" s="38" t="n"/>
      <c r="G201" s="39" t="n"/>
      <c r="H201" s="39" t="n"/>
      <c r="I201" s="38" t="n"/>
      <c r="J201" s="40" t="n"/>
      <c r="K201" s="40" t="n"/>
      <c r="L201" s="41" t="n"/>
      <c r="M201" s="41" t="n"/>
      <c r="N201" s="38" t="n"/>
      <c r="O201" s="38" t="n"/>
      <c r="P201" s="38" t="n"/>
      <c r="Q201" s="38">
        <f>IF(B201="","",IF(H201&lt;&gt;"","Inactive","Active"))</f>
        <v/>
      </c>
      <c r="R201" s="21" t="n"/>
    </row>
    <row r="202">
      <c r="A202" s="38" t="n"/>
      <c r="B202" s="38" t="n"/>
      <c r="C202" s="38" t="n"/>
      <c r="D202" s="38" t="n"/>
      <c r="E202" s="38" t="n"/>
      <c r="F202" s="38" t="n"/>
      <c r="G202" s="39" t="n"/>
      <c r="H202" s="39" t="n"/>
      <c r="I202" s="38" t="n"/>
      <c r="J202" s="40" t="n"/>
      <c r="K202" s="40" t="n"/>
      <c r="L202" s="41" t="n"/>
      <c r="M202" s="41" t="n"/>
      <c r="N202" s="38" t="n"/>
      <c r="O202" s="38" t="n"/>
      <c r="P202" s="38" t="n"/>
      <c r="Q202" s="38">
        <f>IF(B202="","",IF(H202&lt;&gt;"","Inactive","Active"))</f>
        <v/>
      </c>
      <c r="R202" s="21" t="n"/>
    </row>
    <row r="204">
      <c r="A204" s="2" t="inlineStr">
        <is>
          <t>Use a unique Employee ID. Store only necessary personal data; protect this workbook and restrict access.</t>
        </is>
      </c>
    </row>
  </sheetData>
  <mergeCells count="2">
    <mergeCell ref="A204:R204"/>
    <mergeCell ref="A1:R1"/>
  </mergeCells>
  <dataValidations count="5">
    <dataValidation sqref="I3:I202" showDropDown="0" showInputMessage="0" showErrorMessage="0" allowBlank="1" type="list">
      <formula1>"Monthly,Weekly,Fortnightly,Four-weekly"</formula1>
    </dataValidation>
    <dataValidation sqref="E3:E202" showDropDown="0" showInputMessage="0" showErrorMessage="0" allowBlank="1" type="list">
      <formula1>"UK,India,Other"</formula1>
    </dataValidation>
    <dataValidation sqref="F3:F202" showDropDown="0" showInputMessage="0" showErrorMessage="0" allowBlank="1" type="list">
      <formula1>"Employee,Contractor,Agency Worker"</formula1>
    </dataValidation>
    <dataValidation sqref="L3:L202" showDropDown="0" showInputMessage="0" showErrorMessage="0" allowBlank="1" type="decimal" operator="between">
      <formula1>0</formula1>
      <formula2>100</formula2>
    </dataValidation>
    <dataValidation sqref="M3:M202" showDropDown="0" showInputMessage="0" showErrorMessage="0" allowBlank="1" type="decimal" operator="between">
      <formula1>0</formula1>
      <formula2>100</formula2>
    </dataValidation>
  </dataValidations>
  <pageMargins left="0.3" right="0.3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17365D"/>
    <outlinePr summaryBelow="1" summaryRight="1"/>
    <pageSetUpPr fitToPage="1"/>
  </sheetPr>
  <dimension ref="A1:X204"/>
  <sheetViews>
    <sheetView showGridLines="0" zoomScale="85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24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24" customWidth="1" min="22" max="22"/>
    <col width="18" customWidth="1" min="23" max="23"/>
    <col width="24" customWidth="1" min="24" max="24"/>
  </cols>
  <sheetData>
    <row r="1">
      <c r="A1" s="37" t="inlineStr">
        <is>
          <t>AVERRA — MONTHLY PAYROLL REGISTER</t>
        </is>
      </c>
    </row>
    <row r="2" ht="32" customHeight="1">
      <c r="A2" s="33" t="inlineStr">
        <is>
          <t>Payroll ID</t>
        </is>
      </c>
      <c r="B2" s="33" t="inlineStr">
        <is>
          <t>Period Start</t>
        </is>
      </c>
      <c r="C2" s="33" t="inlineStr">
        <is>
          <t>Period End</t>
        </is>
      </c>
      <c r="D2" s="33" t="inlineStr">
        <is>
          <t>Pay Date</t>
        </is>
      </c>
      <c r="E2" s="33" t="inlineStr">
        <is>
          <t>Employee ID</t>
        </is>
      </c>
      <c r="F2" s="33" t="inlineStr">
        <is>
          <t>Employee Name</t>
        </is>
      </c>
      <c r="G2" s="33" t="inlineStr">
        <is>
          <t>Worker Type</t>
        </is>
      </c>
      <c r="H2" s="33" t="inlineStr">
        <is>
          <t>Pay Frequency</t>
        </is>
      </c>
      <c r="I2" s="33" t="inlineStr">
        <is>
          <t>Basic Pay (GBP)</t>
        </is>
      </c>
      <c r="J2" s="33" t="inlineStr">
        <is>
          <t>Overtime / Bonus (GBP)</t>
        </is>
      </c>
      <c r="K2" s="33" t="inlineStr">
        <is>
          <t>Other Earnings (GBP)</t>
        </is>
      </c>
      <c r="L2" s="33" t="inlineStr">
        <is>
          <t>Gross Pay (GBP)</t>
        </is>
      </c>
      <c r="M2" s="33" t="inlineStr">
        <is>
          <t>PAYE (GBP)</t>
        </is>
      </c>
      <c r="N2" s="33" t="inlineStr">
        <is>
          <t>Employee NI (GBP)</t>
        </is>
      </c>
      <c r="O2" s="33" t="inlineStr">
        <is>
          <t>Employee Pension (GBP)</t>
        </is>
      </c>
      <c r="P2" s="33" t="inlineStr">
        <is>
          <t>Other Deductions (GBP)</t>
        </is>
      </c>
      <c r="Q2" s="33" t="inlineStr">
        <is>
          <t>Total Deductions (GBP)</t>
        </is>
      </c>
      <c r="R2" s="33" t="inlineStr">
        <is>
          <t>Net Pay (GBP)</t>
        </is>
      </c>
      <c r="S2" s="33" t="inlineStr">
        <is>
          <t>Employer NI (GBP)</t>
        </is>
      </c>
      <c r="T2" s="33" t="inlineStr">
        <is>
          <t>Employer Pension (GBP)</t>
        </is>
      </c>
      <c r="U2" s="33" t="inlineStr">
        <is>
          <t>Total Employer Cost (GBP)</t>
        </is>
      </c>
      <c r="V2" s="33" t="inlineStr">
        <is>
          <t>Review Status</t>
        </is>
      </c>
      <c r="W2" s="33" t="inlineStr">
        <is>
          <t>Payment Status</t>
        </is>
      </c>
      <c r="X2" s="33" t="inlineStr">
        <is>
          <t>Notes</t>
        </is>
      </c>
    </row>
    <row r="3">
      <c r="A3" s="42" t="n"/>
      <c r="B3" s="39" t="n"/>
      <c r="C3" s="39" t="n"/>
      <c r="D3" s="39" t="n"/>
      <c r="E3" s="42" t="n"/>
      <c r="F3" s="43">
        <f>IFERROR(INDEX('Employee Database'!$B$3:$B$202,MATCH(E3,'Employee Database'!$A$3:$A$202,0)),"")</f>
        <v/>
      </c>
      <c r="G3" s="43">
        <f>IFERROR(INDEX('Employee Database'!$F$3:$F$202,MATCH(E3,'Employee Database'!$A$3:$A$202,0)),"")</f>
        <v/>
      </c>
      <c r="H3" s="43">
        <f>IFERROR(INDEX('Employee Database'!$I$3:$I$202,MATCH(E3,'Employee Database'!$A$3:$A$202,0)),"")</f>
        <v/>
      </c>
      <c r="I3" s="44">
        <f>IFERROR(IF(H3="Monthly",INDEX('Employee Database'!$J$3:$J$202,MATCH(E3,'Employee Database'!$A$3:$A$202,0))/12,IF(H3="Weekly",INDEX('Employee Database'!$J$3:$J$202,MATCH(E3,'Employee Database'!$A$3:$A$202,0))/52,IF(H3="Fortnightly",INDEX('Employee Database'!$J$3:$J$202,MATCH(E3,'Employee Database'!$A$3:$A$202,0))/26,IF(H3="Four-weekly",INDEX('Employee Database'!$J$3:$J$202,MATCH(E3,'Employee Database'!$A$3:$A$202,0))/13,0))))),0)</f>
        <v/>
      </c>
      <c r="J3" s="45" t="n"/>
      <c r="K3" s="45" t="n"/>
      <c r="L3" s="44">
        <f>SUM(I3:K3)</f>
        <v/>
      </c>
      <c r="M3" s="45" t="n"/>
      <c r="N3" s="45" t="n"/>
      <c r="O3" s="44">
        <f>IFERROR(ROUND(L3*INDEX('Employee Database'!$L$3:$L$202,MATCH(E3,'Employee Database'!$A$3:$A$202,0))/100,2),0)</f>
        <v/>
      </c>
      <c r="P3" s="45" t="n"/>
      <c r="Q3" s="44">
        <f>SUM(M3:P3)</f>
        <v/>
      </c>
      <c r="R3" s="44">
        <f>L3-Q3</f>
        <v/>
      </c>
      <c r="S3" s="45" t="n"/>
      <c r="T3" s="44">
        <f>IFERROR(ROUND(L3*INDEX('Employee Database'!$M$3:$M$202,MATCH(E3,'Employee Database'!$A$3:$A$202,0))/100,2),0)</f>
        <v/>
      </c>
      <c r="U3" s="44">
        <f>SUM(L3,S3,T3)</f>
        <v/>
      </c>
      <c r="V3" s="46">
        <f>IF(E3="","",IF(OR(B3="",C3="",D3=""),"Missing period/date",IF(L3&lt;0,"Check gross pay",IF(R3&lt;0,"Deductions exceed gross","Review statutory amounts"))))</f>
        <v/>
      </c>
      <c r="W3" s="42" t="n"/>
      <c r="X3" s="47" t="n"/>
    </row>
    <row r="4">
      <c r="A4" s="42" t="n"/>
      <c r="B4" s="39" t="n"/>
      <c r="C4" s="39" t="n"/>
      <c r="D4" s="39" t="n"/>
      <c r="E4" s="42" t="n"/>
      <c r="F4" s="43">
        <f>IFERROR(INDEX('Employee Database'!$B$3:$B$202,MATCH(E4,'Employee Database'!$A$3:$A$202,0)),"")</f>
        <v/>
      </c>
      <c r="G4" s="43">
        <f>IFERROR(INDEX('Employee Database'!$F$3:$F$202,MATCH(E4,'Employee Database'!$A$3:$A$202,0)),"")</f>
        <v/>
      </c>
      <c r="H4" s="43">
        <f>IFERROR(INDEX('Employee Database'!$I$3:$I$202,MATCH(E4,'Employee Database'!$A$3:$A$202,0)),"")</f>
        <v/>
      </c>
      <c r="I4" s="44">
        <f>IFERROR(IF(H4="Monthly",INDEX('Employee Database'!$J$3:$J$202,MATCH(E4,'Employee Database'!$A$3:$A$202,0))/12,IF(H4="Weekly",INDEX('Employee Database'!$J$3:$J$202,MATCH(E4,'Employee Database'!$A$3:$A$202,0))/52,IF(H4="Fortnightly",INDEX('Employee Database'!$J$3:$J$202,MATCH(E4,'Employee Database'!$A$3:$A$202,0))/26,IF(H4="Four-weekly",INDEX('Employee Database'!$J$3:$J$202,MATCH(E4,'Employee Database'!$A$3:$A$202,0))/13,0))))),0)</f>
        <v/>
      </c>
      <c r="J4" s="45" t="n"/>
      <c r="K4" s="45" t="n"/>
      <c r="L4" s="44">
        <f>SUM(I4:K4)</f>
        <v/>
      </c>
      <c r="M4" s="45" t="n"/>
      <c r="N4" s="45" t="n"/>
      <c r="O4" s="44">
        <f>IFERROR(ROUND(L4*INDEX('Employee Database'!$L$3:$L$202,MATCH(E4,'Employee Database'!$A$3:$A$202,0))/100,2),0)</f>
        <v/>
      </c>
      <c r="P4" s="45" t="n"/>
      <c r="Q4" s="44">
        <f>SUM(M4:P4)</f>
        <v/>
      </c>
      <c r="R4" s="44">
        <f>L4-Q4</f>
        <v/>
      </c>
      <c r="S4" s="45" t="n"/>
      <c r="T4" s="44">
        <f>IFERROR(ROUND(L4*INDEX('Employee Database'!$M$3:$M$202,MATCH(E4,'Employee Database'!$A$3:$A$202,0))/100,2),0)</f>
        <v/>
      </c>
      <c r="U4" s="44">
        <f>SUM(L4,S4,T4)</f>
        <v/>
      </c>
      <c r="V4" s="46">
        <f>IF(E4="","",IF(OR(B4="",C4="",D4=""),"Missing period/date",IF(L4&lt;0,"Check gross pay",IF(R4&lt;0,"Deductions exceed gross","Review statutory amounts"))))</f>
        <v/>
      </c>
      <c r="W4" s="42" t="n"/>
      <c r="X4" s="47" t="n"/>
    </row>
    <row r="5">
      <c r="A5" s="42" t="n"/>
      <c r="B5" s="39" t="n"/>
      <c r="C5" s="39" t="n"/>
      <c r="D5" s="39" t="n"/>
      <c r="E5" s="42" t="n"/>
      <c r="F5" s="43">
        <f>IFERROR(INDEX('Employee Database'!$B$3:$B$202,MATCH(E5,'Employee Database'!$A$3:$A$202,0)),"")</f>
        <v/>
      </c>
      <c r="G5" s="43">
        <f>IFERROR(INDEX('Employee Database'!$F$3:$F$202,MATCH(E5,'Employee Database'!$A$3:$A$202,0)),"")</f>
        <v/>
      </c>
      <c r="H5" s="43">
        <f>IFERROR(INDEX('Employee Database'!$I$3:$I$202,MATCH(E5,'Employee Database'!$A$3:$A$202,0)),"")</f>
        <v/>
      </c>
      <c r="I5" s="44">
        <f>IFERROR(IF(H5="Monthly",INDEX('Employee Database'!$J$3:$J$202,MATCH(E5,'Employee Database'!$A$3:$A$202,0))/12,IF(H5="Weekly",INDEX('Employee Database'!$J$3:$J$202,MATCH(E5,'Employee Database'!$A$3:$A$202,0))/52,IF(H5="Fortnightly",INDEX('Employee Database'!$J$3:$J$202,MATCH(E5,'Employee Database'!$A$3:$A$202,0))/26,IF(H5="Four-weekly",INDEX('Employee Database'!$J$3:$J$202,MATCH(E5,'Employee Database'!$A$3:$A$202,0))/13,0))))),0)</f>
        <v/>
      </c>
      <c r="J5" s="45" t="n"/>
      <c r="K5" s="45" t="n"/>
      <c r="L5" s="44">
        <f>SUM(I5:K5)</f>
        <v/>
      </c>
      <c r="M5" s="45" t="n"/>
      <c r="N5" s="45" t="n"/>
      <c r="O5" s="44">
        <f>IFERROR(ROUND(L5*INDEX('Employee Database'!$L$3:$L$202,MATCH(E5,'Employee Database'!$A$3:$A$202,0))/100,2),0)</f>
        <v/>
      </c>
      <c r="P5" s="45" t="n"/>
      <c r="Q5" s="44">
        <f>SUM(M5:P5)</f>
        <v/>
      </c>
      <c r="R5" s="44">
        <f>L5-Q5</f>
        <v/>
      </c>
      <c r="S5" s="45" t="n"/>
      <c r="T5" s="44">
        <f>IFERROR(ROUND(L5*INDEX('Employee Database'!$M$3:$M$202,MATCH(E5,'Employee Database'!$A$3:$A$202,0))/100,2),0)</f>
        <v/>
      </c>
      <c r="U5" s="44">
        <f>SUM(L5,S5,T5)</f>
        <v/>
      </c>
      <c r="V5" s="46">
        <f>IF(E5="","",IF(OR(B5="",C5="",D5=""),"Missing period/date",IF(L5&lt;0,"Check gross pay",IF(R5&lt;0,"Deductions exceed gross","Review statutory amounts"))))</f>
        <v/>
      </c>
      <c r="W5" s="42" t="n"/>
      <c r="X5" s="47" t="n"/>
    </row>
    <row r="6">
      <c r="A6" s="42" t="n"/>
      <c r="B6" s="39" t="n"/>
      <c r="C6" s="39" t="n"/>
      <c r="D6" s="39" t="n"/>
      <c r="E6" s="42" t="n"/>
      <c r="F6" s="43">
        <f>IFERROR(INDEX('Employee Database'!$B$3:$B$202,MATCH(E6,'Employee Database'!$A$3:$A$202,0)),"")</f>
        <v/>
      </c>
      <c r="G6" s="43">
        <f>IFERROR(INDEX('Employee Database'!$F$3:$F$202,MATCH(E6,'Employee Database'!$A$3:$A$202,0)),"")</f>
        <v/>
      </c>
      <c r="H6" s="43">
        <f>IFERROR(INDEX('Employee Database'!$I$3:$I$202,MATCH(E6,'Employee Database'!$A$3:$A$202,0)),"")</f>
        <v/>
      </c>
      <c r="I6" s="44">
        <f>IFERROR(IF(H6="Monthly",INDEX('Employee Database'!$J$3:$J$202,MATCH(E6,'Employee Database'!$A$3:$A$202,0))/12,IF(H6="Weekly",INDEX('Employee Database'!$J$3:$J$202,MATCH(E6,'Employee Database'!$A$3:$A$202,0))/52,IF(H6="Fortnightly",INDEX('Employee Database'!$J$3:$J$202,MATCH(E6,'Employee Database'!$A$3:$A$202,0))/26,IF(H6="Four-weekly",INDEX('Employee Database'!$J$3:$J$202,MATCH(E6,'Employee Database'!$A$3:$A$202,0))/13,0))))),0)</f>
        <v/>
      </c>
      <c r="J6" s="45" t="n"/>
      <c r="K6" s="45" t="n"/>
      <c r="L6" s="44">
        <f>SUM(I6:K6)</f>
        <v/>
      </c>
      <c r="M6" s="45" t="n"/>
      <c r="N6" s="45" t="n"/>
      <c r="O6" s="44">
        <f>IFERROR(ROUND(L6*INDEX('Employee Database'!$L$3:$L$202,MATCH(E6,'Employee Database'!$A$3:$A$202,0))/100,2),0)</f>
        <v/>
      </c>
      <c r="P6" s="45" t="n"/>
      <c r="Q6" s="44">
        <f>SUM(M6:P6)</f>
        <v/>
      </c>
      <c r="R6" s="44">
        <f>L6-Q6</f>
        <v/>
      </c>
      <c r="S6" s="45" t="n"/>
      <c r="T6" s="44">
        <f>IFERROR(ROUND(L6*INDEX('Employee Database'!$M$3:$M$202,MATCH(E6,'Employee Database'!$A$3:$A$202,0))/100,2),0)</f>
        <v/>
      </c>
      <c r="U6" s="44">
        <f>SUM(L6,S6,T6)</f>
        <v/>
      </c>
      <c r="V6" s="46">
        <f>IF(E6="","",IF(OR(B6="",C6="",D6=""),"Missing period/date",IF(L6&lt;0,"Check gross pay",IF(R6&lt;0,"Deductions exceed gross","Review statutory amounts"))))</f>
        <v/>
      </c>
      <c r="W6" s="42" t="n"/>
      <c r="X6" s="47" t="n"/>
    </row>
    <row r="7">
      <c r="A7" s="42" t="n"/>
      <c r="B7" s="39" t="n"/>
      <c r="C7" s="39" t="n"/>
      <c r="D7" s="39" t="n"/>
      <c r="E7" s="42" t="n"/>
      <c r="F7" s="43">
        <f>IFERROR(INDEX('Employee Database'!$B$3:$B$202,MATCH(E7,'Employee Database'!$A$3:$A$202,0)),"")</f>
        <v/>
      </c>
      <c r="G7" s="43">
        <f>IFERROR(INDEX('Employee Database'!$F$3:$F$202,MATCH(E7,'Employee Database'!$A$3:$A$202,0)),"")</f>
        <v/>
      </c>
      <c r="H7" s="43">
        <f>IFERROR(INDEX('Employee Database'!$I$3:$I$202,MATCH(E7,'Employee Database'!$A$3:$A$202,0)),"")</f>
        <v/>
      </c>
      <c r="I7" s="44">
        <f>IFERROR(IF(H7="Monthly",INDEX('Employee Database'!$J$3:$J$202,MATCH(E7,'Employee Database'!$A$3:$A$202,0))/12,IF(H7="Weekly",INDEX('Employee Database'!$J$3:$J$202,MATCH(E7,'Employee Database'!$A$3:$A$202,0))/52,IF(H7="Fortnightly",INDEX('Employee Database'!$J$3:$J$202,MATCH(E7,'Employee Database'!$A$3:$A$202,0))/26,IF(H7="Four-weekly",INDEX('Employee Database'!$J$3:$J$202,MATCH(E7,'Employee Database'!$A$3:$A$202,0))/13,0))))),0)</f>
        <v/>
      </c>
      <c r="J7" s="45" t="n"/>
      <c r="K7" s="45" t="n"/>
      <c r="L7" s="44">
        <f>SUM(I7:K7)</f>
        <v/>
      </c>
      <c r="M7" s="45" t="n"/>
      <c r="N7" s="45" t="n"/>
      <c r="O7" s="44">
        <f>IFERROR(ROUND(L7*INDEX('Employee Database'!$L$3:$L$202,MATCH(E7,'Employee Database'!$A$3:$A$202,0))/100,2),0)</f>
        <v/>
      </c>
      <c r="P7" s="45" t="n"/>
      <c r="Q7" s="44">
        <f>SUM(M7:P7)</f>
        <v/>
      </c>
      <c r="R7" s="44">
        <f>L7-Q7</f>
        <v/>
      </c>
      <c r="S7" s="45" t="n"/>
      <c r="T7" s="44">
        <f>IFERROR(ROUND(L7*INDEX('Employee Database'!$M$3:$M$202,MATCH(E7,'Employee Database'!$A$3:$A$202,0))/100,2),0)</f>
        <v/>
      </c>
      <c r="U7" s="44">
        <f>SUM(L7,S7,T7)</f>
        <v/>
      </c>
      <c r="V7" s="46">
        <f>IF(E7="","",IF(OR(B7="",C7="",D7=""),"Missing period/date",IF(L7&lt;0,"Check gross pay",IF(R7&lt;0,"Deductions exceed gross","Review statutory amounts"))))</f>
        <v/>
      </c>
      <c r="W7" s="42" t="n"/>
      <c r="X7" s="47" t="n"/>
    </row>
    <row r="8">
      <c r="A8" s="42" t="n"/>
      <c r="B8" s="39" t="n"/>
      <c r="C8" s="39" t="n"/>
      <c r="D8" s="39" t="n"/>
      <c r="E8" s="42" t="n"/>
      <c r="F8" s="43">
        <f>IFERROR(INDEX('Employee Database'!$B$3:$B$202,MATCH(E8,'Employee Database'!$A$3:$A$202,0)),"")</f>
        <v/>
      </c>
      <c r="G8" s="43">
        <f>IFERROR(INDEX('Employee Database'!$F$3:$F$202,MATCH(E8,'Employee Database'!$A$3:$A$202,0)),"")</f>
        <v/>
      </c>
      <c r="H8" s="43">
        <f>IFERROR(INDEX('Employee Database'!$I$3:$I$202,MATCH(E8,'Employee Database'!$A$3:$A$202,0)),"")</f>
        <v/>
      </c>
      <c r="I8" s="44">
        <f>IFERROR(IF(H8="Monthly",INDEX('Employee Database'!$J$3:$J$202,MATCH(E8,'Employee Database'!$A$3:$A$202,0))/12,IF(H8="Weekly",INDEX('Employee Database'!$J$3:$J$202,MATCH(E8,'Employee Database'!$A$3:$A$202,0))/52,IF(H8="Fortnightly",INDEX('Employee Database'!$J$3:$J$202,MATCH(E8,'Employee Database'!$A$3:$A$202,0))/26,IF(H8="Four-weekly",INDEX('Employee Database'!$J$3:$J$202,MATCH(E8,'Employee Database'!$A$3:$A$202,0))/13,0))))),0)</f>
        <v/>
      </c>
      <c r="J8" s="45" t="n"/>
      <c r="K8" s="45" t="n"/>
      <c r="L8" s="44">
        <f>SUM(I8:K8)</f>
        <v/>
      </c>
      <c r="M8" s="45" t="n"/>
      <c r="N8" s="45" t="n"/>
      <c r="O8" s="44">
        <f>IFERROR(ROUND(L8*INDEX('Employee Database'!$L$3:$L$202,MATCH(E8,'Employee Database'!$A$3:$A$202,0))/100,2),0)</f>
        <v/>
      </c>
      <c r="P8" s="45" t="n"/>
      <c r="Q8" s="44">
        <f>SUM(M8:P8)</f>
        <v/>
      </c>
      <c r="R8" s="44">
        <f>L8-Q8</f>
        <v/>
      </c>
      <c r="S8" s="45" t="n"/>
      <c r="T8" s="44">
        <f>IFERROR(ROUND(L8*INDEX('Employee Database'!$M$3:$M$202,MATCH(E8,'Employee Database'!$A$3:$A$202,0))/100,2),0)</f>
        <v/>
      </c>
      <c r="U8" s="44">
        <f>SUM(L8,S8,T8)</f>
        <v/>
      </c>
      <c r="V8" s="46">
        <f>IF(E8="","",IF(OR(B8="",C8="",D8=""),"Missing period/date",IF(L8&lt;0,"Check gross pay",IF(R8&lt;0,"Deductions exceed gross","Review statutory amounts"))))</f>
        <v/>
      </c>
      <c r="W8" s="42" t="n"/>
      <c r="X8" s="47" t="n"/>
    </row>
    <row r="9">
      <c r="A9" s="42" t="n"/>
      <c r="B9" s="39" t="n"/>
      <c r="C9" s="39" t="n"/>
      <c r="D9" s="39" t="n"/>
      <c r="E9" s="42" t="n"/>
      <c r="F9" s="43">
        <f>IFERROR(INDEX('Employee Database'!$B$3:$B$202,MATCH(E9,'Employee Database'!$A$3:$A$202,0)),"")</f>
        <v/>
      </c>
      <c r="G9" s="43">
        <f>IFERROR(INDEX('Employee Database'!$F$3:$F$202,MATCH(E9,'Employee Database'!$A$3:$A$202,0)),"")</f>
        <v/>
      </c>
      <c r="H9" s="43">
        <f>IFERROR(INDEX('Employee Database'!$I$3:$I$202,MATCH(E9,'Employee Database'!$A$3:$A$202,0)),"")</f>
        <v/>
      </c>
      <c r="I9" s="44">
        <f>IFERROR(IF(H9="Monthly",INDEX('Employee Database'!$J$3:$J$202,MATCH(E9,'Employee Database'!$A$3:$A$202,0))/12,IF(H9="Weekly",INDEX('Employee Database'!$J$3:$J$202,MATCH(E9,'Employee Database'!$A$3:$A$202,0))/52,IF(H9="Fortnightly",INDEX('Employee Database'!$J$3:$J$202,MATCH(E9,'Employee Database'!$A$3:$A$202,0))/26,IF(H9="Four-weekly",INDEX('Employee Database'!$J$3:$J$202,MATCH(E9,'Employee Database'!$A$3:$A$202,0))/13,0))))),0)</f>
        <v/>
      </c>
      <c r="J9" s="45" t="n"/>
      <c r="K9" s="45" t="n"/>
      <c r="L9" s="44">
        <f>SUM(I9:K9)</f>
        <v/>
      </c>
      <c r="M9" s="45" t="n"/>
      <c r="N9" s="45" t="n"/>
      <c r="O9" s="44">
        <f>IFERROR(ROUND(L9*INDEX('Employee Database'!$L$3:$L$202,MATCH(E9,'Employee Database'!$A$3:$A$202,0))/100,2),0)</f>
        <v/>
      </c>
      <c r="P9" s="45" t="n"/>
      <c r="Q9" s="44">
        <f>SUM(M9:P9)</f>
        <v/>
      </c>
      <c r="R9" s="44">
        <f>L9-Q9</f>
        <v/>
      </c>
      <c r="S9" s="45" t="n"/>
      <c r="T9" s="44">
        <f>IFERROR(ROUND(L9*INDEX('Employee Database'!$M$3:$M$202,MATCH(E9,'Employee Database'!$A$3:$A$202,0))/100,2),0)</f>
        <v/>
      </c>
      <c r="U9" s="44">
        <f>SUM(L9,S9,T9)</f>
        <v/>
      </c>
      <c r="V9" s="46">
        <f>IF(E9="","",IF(OR(B9="",C9="",D9=""),"Missing period/date",IF(L9&lt;0,"Check gross pay",IF(R9&lt;0,"Deductions exceed gross","Review statutory amounts"))))</f>
        <v/>
      </c>
      <c r="W9" s="42" t="n"/>
      <c r="X9" s="47" t="n"/>
    </row>
    <row r="10">
      <c r="A10" s="42" t="n"/>
      <c r="B10" s="39" t="n"/>
      <c r="C10" s="39" t="n"/>
      <c r="D10" s="39" t="n"/>
      <c r="E10" s="42" t="n"/>
      <c r="F10" s="43">
        <f>IFERROR(INDEX('Employee Database'!$B$3:$B$202,MATCH(E10,'Employee Database'!$A$3:$A$202,0)),"")</f>
        <v/>
      </c>
      <c r="G10" s="43">
        <f>IFERROR(INDEX('Employee Database'!$F$3:$F$202,MATCH(E10,'Employee Database'!$A$3:$A$202,0)),"")</f>
        <v/>
      </c>
      <c r="H10" s="43">
        <f>IFERROR(INDEX('Employee Database'!$I$3:$I$202,MATCH(E10,'Employee Database'!$A$3:$A$202,0)),"")</f>
        <v/>
      </c>
      <c r="I10" s="44">
        <f>IFERROR(IF(H10="Monthly",INDEX('Employee Database'!$J$3:$J$202,MATCH(E10,'Employee Database'!$A$3:$A$202,0))/12,IF(H10="Weekly",INDEX('Employee Database'!$J$3:$J$202,MATCH(E10,'Employee Database'!$A$3:$A$202,0))/52,IF(H10="Fortnightly",INDEX('Employee Database'!$J$3:$J$202,MATCH(E10,'Employee Database'!$A$3:$A$202,0))/26,IF(H10="Four-weekly",INDEX('Employee Database'!$J$3:$J$202,MATCH(E10,'Employee Database'!$A$3:$A$202,0))/13,0))))),0)</f>
        <v/>
      </c>
      <c r="J10" s="45" t="n"/>
      <c r="K10" s="45" t="n"/>
      <c r="L10" s="44">
        <f>SUM(I10:K10)</f>
        <v/>
      </c>
      <c r="M10" s="45" t="n"/>
      <c r="N10" s="45" t="n"/>
      <c r="O10" s="44">
        <f>IFERROR(ROUND(L10*INDEX('Employee Database'!$L$3:$L$202,MATCH(E10,'Employee Database'!$A$3:$A$202,0))/100,2),0)</f>
        <v/>
      </c>
      <c r="P10" s="45" t="n"/>
      <c r="Q10" s="44">
        <f>SUM(M10:P10)</f>
        <v/>
      </c>
      <c r="R10" s="44">
        <f>L10-Q10</f>
        <v/>
      </c>
      <c r="S10" s="45" t="n"/>
      <c r="T10" s="44">
        <f>IFERROR(ROUND(L10*INDEX('Employee Database'!$M$3:$M$202,MATCH(E10,'Employee Database'!$A$3:$A$202,0))/100,2),0)</f>
        <v/>
      </c>
      <c r="U10" s="44">
        <f>SUM(L10,S10,T10)</f>
        <v/>
      </c>
      <c r="V10" s="46">
        <f>IF(E10="","",IF(OR(B10="",C10="",D10=""),"Missing period/date",IF(L10&lt;0,"Check gross pay",IF(R10&lt;0,"Deductions exceed gross","Review statutory amounts"))))</f>
        <v/>
      </c>
      <c r="W10" s="42" t="n"/>
      <c r="X10" s="47" t="n"/>
    </row>
    <row r="11">
      <c r="A11" s="42" t="n"/>
      <c r="B11" s="39" t="n"/>
      <c r="C11" s="39" t="n"/>
      <c r="D11" s="39" t="n"/>
      <c r="E11" s="42" t="n"/>
      <c r="F11" s="43">
        <f>IFERROR(INDEX('Employee Database'!$B$3:$B$202,MATCH(E11,'Employee Database'!$A$3:$A$202,0)),"")</f>
        <v/>
      </c>
      <c r="G11" s="43">
        <f>IFERROR(INDEX('Employee Database'!$F$3:$F$202,MATCH(E11,'Employee Database'!$A$3:$A$202,0)),"")</f>
        <v/>
      </c>
      <c r="H11" s="43">
        <f>IFERROR(INDEX('Employee Database'!$I$3:$I$202,MATCH(E11,'Employee Database'!$A$3:$A$202,0)),"")</f>
        <v/>
      </c>
      <c r="I11" s="44">
        <f>IFERROR(IF(H11="Monthly",INDEX('Employee Database'!$J$3:$J$202,MATCH(E11,'Employee Database'!$A$3:$A$202,0))/12,IF(H11="Weekly",INDEX('Employee Database'!$J$3:$J$202,MATCH(E11,'Employee Database'!$A$3:$A$202,0))/52,IF(H11="Fortnightly",INDEX('Employee Database'!$J$3:$J$202,MATCH(E11,'Employee Database'!$A$3:$A$202,0))/26,IF(H11="Four-weekly",INDEX('Employee Database'!$J$3:$J$202,MATCH(E11,'Employee Database'!$A$3:$A$202,0))/13,0))))),0)</f>
        <v/>
      </c>
      <c r="J11" s="45" t="n"/>
      <c r="K11" s="45" t="n"/>
      <c r="L11" s="44">
        <f>SUM(I11:K11)</f>
        <v/>
      </c>
      <c r="M11" s="45" t="n"/>
      <c r="N11" s="45" t="n"/>
      <c r="O11" s="44">
        <f>IFERROR(ROUND(L11*INDEX('Employee Database'!$L$3:$L$202,MATCH(E11,'Employee Database'!$A$3:$A$202,0))/100,2),0)</f>
        <v/>
      </c>
      <c r="P11" s="45" t="n"/>
      <c r="Q11" s="44">
        <f>SUM(M11:P11)</f>
        <v/>
      </c>
      <c r="R11" s="44">
        <f>L11-Q11</f>
        <v/>
      </c>
      <c r="S11" s="45" t="n"/>
      <c r="T11" s="44">
        <f>IFERROR(ROUND(L11*INDEX('Employee Database'!$M$3:$M$202,MATCH(E11,'Employee Database'!$A$3:$A$202,0))/100,2),0)</f>
        <v/>
      </c>
      <c r="U11" s="44">
        <f>SUM(L11,S11,T11)</f>
        <v/>
      </c>
      <c r="V11" s="46">
        <f>IF(E11="","",IF(OR(B11="",C11="",D11=""),"Missing period/date",IF(L11&lt;0,"Check gross pay",IF(R11&lt;0,"Deductions exceed gross","Review statutory amounts"))))</f>
        <v/>
      </c>
      <c r="W11" s="42" t="n"/>
      <c r="X11" s="47" t="n"/>
    </row>
    <row r="12">
      <c r="A12" s="42" t="n"/>
      <c r="B12" s="39" t="n"/>
      <c r="C12" s="39" t="n"/>
      <c r="D12" s="39" t="n"/>
      <c r="E12" s="42" t="n"/>
      <c r="F12" s="43">
        <f>IFERROR(INDEX('Employee Database'!$B$3:$B$202,MATCH(E12,'Employee Database'!$A$3:$A$202,0)),"")</f>
        <v/>
      </c>
      <c r="G12" s="43">
        <f>IFERROR(INDEX('Employee Database'!$F$3:$F$202,MATCH(E12,'Employee Database'!$A$3:$A$202,0)),"")</f>
        <v/>
      </c>
      <c r="H12" s="43">
        <f>IFERROR(INDEX('Employee Database'!$I$3:$I$202,MATCH(E12,'Employee Database'!$A$3:$A$202,0)),"")</f>
        <v/>
      </c>
      <c r="I12" s="44">
        <f>IFERROR(IF(H12="Monthly",INDEX('Employee Database'!$J$3:$J$202,MATCH(E12,'Employee Database'!$A$3:$A$202,0))/12,IF(H12="Weekly",INDEX('Employee Database'!$J$3:$J$202,MATCH(E12,'Employee Database'!$A$3:$A$202,0))/52,IF(H12="Fortnightly",INDEX('Employee Database'!$J$3:$J$202,MATCH(E12,'Employee Database'!$A$3:$A$202,0))/26,IF(H12="Four-weekly",INDEX('Employee Database'!$J$3:$J$202,MATCH(E12,'Employee Database'!$A$3:$A$202,0))/13,0))))),0)</f>
        <v/>
      </c>
      <c r="J12" s="45" t="n"/>
      <c r="K12" s="45" t="n"/>
      <c r="L12" s="44">
        <f>SUM(I12:K12)</f>
        <v/>
      </c>
      <c r="M12" s="45" t="n"/>
      <c r="N12" s="45" t="n"/>
      <c r="O12" s="44">
        <f>IFERROR(ROUND(L12*INDEX('Employee Database'!$L$3:$L$202,MATCH(E12,'Employee Database'!$A$3:$A$202,0))/100,2),0)</f>
        <v/>
      </c>
      <c r="P12" s="45" t="n"/>
      <c r="Q12" s="44">
        <f>SUM(M12:P12)</f>
        <v/>
      </c>
      <c r="R12" s="44">
        <f>L12-Q12</f>
        <v/>
      </c>
      <c r="S12" s="45" t="n"/>
      <c r="T12" s="44">
        <f>IFERROR(ROUND(L12*INDEX('Employee Database'!$M$3:$M$202,MATCH(E12,'Employee Database'!$A$3:$A$202,0))/100,2),0)</f>
        <v/>
      </c>
      <c r="U12" s="44">
        <f>SUM(L12,S12,T12)</f>
        <v/>
      </c>
      <c r="V12" s="46">
        <f>IF(E12="","",IF(OR(B12="",C12="",D12=""),"Missing period/date",IF(L12&lt;0,"Check gross pay",IF(R12&lt;0,"Deductions exceed gross","Review statutory amounts"))))</f>
        <v/>
      </c>
      <c r="W12" s="42" t="n"/>
      <c r="X12" s="47" t="n"/>
    </row>
    <row r="13">
      <c r="A13" s="42" t="n"/>
      <c r="B13" s="39" t="n"/>
      <c r="C13" s="39" t="n"/>
      <c r="D13" s="39" t="n"/>
      <c r="E13" s="42" t="n"/>
      <c r="F13" s="43">
        <f>IFERROR(INDEX('Employee Database'!$B$3:$B$202,MATCH(E13,'Employee Database'!$A$3:$A$202,0)),"")</f>
        <v/>
      </c>
      <c r="G13" s="43">
        <f>IFERROR(INDEX('Employee Database'!$F$3:$F$202,MATCH(E13,'Employee Database'!$A$3:$A$202,0)),"")</f>
        <v/>
      </c>
      <c r="H13" s="43">
        <f>IFERROR(INDEX('Employee Database'!$I$3:$I$202,MATCH(E13,'Employee Database'!$A$3:$A$202,0)),"")</f>
        <v/>
      </c>
      <c r="I13" s="44">
        <f>IFERROR(IF(H13="Monthly",INDEX('Employee Database'!$J$3:$J$202,MATCH(E13,'Employee Database'!$A$3:$A$202,0))/12,IF(H13="Weekly",INDEX('Employee Database'!$J$3:$J$202,MATCH(E13,'Employee Database'!$A$3:$A$202,0))/52,IF(H13="Fortnightly",INDEX('Employee Database'!$J$3:$J$202,MATCH(E13,'Employee Database'!$A$3:$A$202,0))/26,IF(H13="Four-weekly",INDEX('Employee Database'!$J$3:$J$202,MATCH(E13,'Employee Database'!$A$3:$A$202,0))/13,0))))),0)</f>
        <v/>
      </c>
      <c r="J13" s="45" t="n"/>
      <c r="K13" s="45" t="n"/>
      <c r="L13" s="44">
        <f>SUM(I13:K13)</f>
        <v/>
      </c>
      <c r="M13" s="45" t="n"/>
      <c r="N13" s="45" t="n"/>
      <c r="O13" s="44">
        <f>IFERROR(ROUND(L13*INDEX('Employee Database'!$L$3:$L$202,MATCH(E13,'Employee Database'!$A$3:$A$202,0))/100,2),0)</f>
        <v/>
      </c>
      <c r="P13" s="45" t="n"/>
      <c r="Q13" s="44">
        <f>SUM(M13:P13)</f>
        <v/>
      </c>
      <c r="R13" s="44">
        <f>L13-Q13</f>
        <v/>
      </c>
      <c r="S13" s="45" t="n"/>
      <c r="T13" s="44">
        <f>IFERROR(ROUND(L13*INDEX('Employee Database'!$M$3:$M$202,MATCH(E13,'Employee Database'!$A$3:$A$202,0))/100,2),0)</f>
        <v/>
      </c>
      <c r="U13" s="44">
        <f>SUM(L13,S13,T13)</f>
        <v/>
      </c>
      <c r="V13" s="46">
        <f>IF(E13="","",IF(OR(B13="",C13="",D13=""),"Missing period/date",IF(L13&lt;0,"Check gross pay",IF(R13&lt;0,"Deductions exceed gross","Review statutory amounts"))))</f>
        <v/>
      </c>
      <c r="W13" s="42" t="n"/>
      <c r="X13" s="47" t="n"/>
    </row>
    <row r="14">
      <c r="A14" s="42" t="n"/>
      <c r="B14" s="39" t="n"/>
      <c r="C14" s="39" t="n"/>
      <c r="D14" s="39" t="n"/>
      <c r="E14" s="42" t="n"/>
      <c r="F14" s="43">
        <f>IFERROR(INDEX('Employee Database'!$B$3:$B$202,MATCH(E14,'Employee Database'!$A$3:$A$202,0)),"")</f>
        <v/>
      </c>
      <c r="G14" s="43">
        <f>IFERROR(INDEX('Employee Database'!$F$3:$F$202,MATCH(E14,'Employee Database'!$A$3:$A$202,0)),"")</f>
        <v/>
      </c>
      <c r="H14" s="43">
        <f>IFERROR(INDEX('Employee Database'!$I$3:$I$202,MATCH(E14,'Employee Database'!$A$3:$A$202,0)),"")</f>
        <v/>
      </c>
      <c r="I14" s="44">
        <f>IFERROR(IF(H14="Monthly",INDEX('Employee Database'!$J$3:$J$202,MATCH(E14,'Employee Database'!$A$3:$A$202,0))/12,IF(H14="Weekly",INDEX('Employee Database'!$J$3:$J$202,MATCH(E14,'Employee Database'!$A$3:$A$202,0))/52,IF(H14="Fortnightly",INDEX('Employee Database'!$J$3:$J$202,MATCH(E14,'Employee Database'!$A$3:$A$202,0))/26,IF(H14="Four-weekly",INDEX('Employee Database'!$J$3:$J$202,MATCH(E14,'Employee Database'!$A$3:$A$202,0))/13,0))))),0)</f>
        <v/>
      </c>
      <c r="J14" s="45" t="n"/>
      <c r="K14" s="45" t="n"/>
      <c r="L14" s="44">
        <f>SUM(I14:K14)</f>
        <v/>
      </c>
      <c r="M14" s="45" t="n"/>
      <c r="N14" s="45" t="n"/>
      <c r="O14" s="44">
        <f>IFERROR(ROUND(L14*INDEX('Employee Database'!$L$3:$L$202,MATCH(E14,'Employee Database'!$A$3:$A$202,0))/100,2),0)</f>
        <v/>
      </c>
      <c r="P14" s="45" t="n"/>
      <c r="Q14" s="44">
        <f>SUM(M14:P14)</f>
        <v/>
      </c>
      <c r="R14" s="44">
        <f>L14-Q14</f>
        <v/>
      </c>
      <c r="S14" s="45" t="n"/>
      <c r="T14" s="44">
        <f>IFERROR(ROUND(L14*INDEX('Employee Database'!$M$3:$M$202,MATCH(E14,'Employee Database'!$A$3:$A$202,0))/100,2),0)</f>
        <v/>
      </c>
      <c r="U14" s="44">
        <f>SUM(L14,S14,T14)</f>
        <v/>
      </c>
      <c r="V14" s="46">
        <f>IF(E14="","",IF(OR(B14="",C14="",D14=""),"Missing period/date",IF(L14&lt;0,"Check gross pay",IF(R14&lt;0,"Deductions exceed gross","Review statutory amounts"))))</f>
        <v/>
      </c>
      <c r="W14" s="42" t="n"/>
      <c r="X14" s="47" t="n"/>
    </row>
    <row r="15">
      <c r="A15" s="42" t="n"/>
      <c r="B15" s="39" t="n"/>
      <c r="C15" s="39" t="n"/>
      <c r="D15" s="39" t="n"/>
      <c r="E15" s="42" t="n"/>
      <c r="F15" s="43">
        <f>IFERROR(INDEX('Employee Database'!$B$3:$B$202,MATCH(E15,'Employee Database'!$A$3:$A$202,0)),"")</f>
        <v/>
      </c>
      <c r="G15" s="43">
        <f>IFERROR(INDEX('Employee Database'!$F$3:$F$202,MATCH(E15,'Employee Database'!$A$3:$A$202,0)),"")</f>
        <v/>
      </c>
      <c r="H15" s="43">
        <f>IFERROR(INDEX('Employee Database'!$I$3:$I$202,MATCH(E15,'Employee Database'!$A$3:$A$202,0)),"")</f>
        <v/>
      </c>
      <c r="I15" s="44">
        <f>IFERROR(IF(H15="Monthly",INDEX('Employee Database'!$J$3:$J$202,MATCH(E15,'Employee Database'!$A$3:$A$202,0))/12,IF(H15="Weekly",INDEX('Employee Database'!$J$3:$J$202,MATCH(E15,'Employee Database'!$A$3:$A$202,0))/52,IF(H15="Fortnightly",INDEX('Employee Database'!$J$3:$J$202,MATCH(E15,'Employee Database'!$A$3:$A$202,0))/26,IF(H15="Four-weekly",INDEX('Employee Database'!$J$3:$J$202,MATCH(E15,'Employee Database'!$A$3:$A$202,0))/13,0))))),0)</f>
        <v/>
      </c>
      <c r="J15" s="45" t="n"/>
      <c r="K15" s="45" t="n"/>
      <c r="L15" s="44">
        <f>SUM(I15:K15)</f>
        <v/>
      </c>
      <c r="M15" s="45" t="n"/>
      <c r="N15" s="45" t="n"/>
      <c r="O15" s="44">
        <f>IFERROR(ROUND(L15*INDEX('Employee Database'!$L$3:$L$202,MATCH(E15,'Employee Database'!$A$3:$A$202,0))/100,2),0)</f>
        <v/>
      </c>
      <c r="P15" s="45" t="n"/>
      <c r="Q15" s="44">
        <f>SUM(M15:P15)</f>
        <v/>
      </c>
      <c r="R15" s="44">
        <f>L15-Q15</f>
        <v/>
      </c>
      <c r="S15" s="45" t="n"/>
      <c r="T15" s="44">
        <f>IFERROR(ROUND(L15*INDEX('Employee Database'!$M$3:$M$202,MATCH(E15,'Employee Database'!$A$3:$A$202,0))/100,2),0)</f>
        <v/>
      </c>
      <c r="U15" s="44">
        <f>SUM(L15,S15,T15)</f>
        <v/>
      </c>
      <c r="V15" s="46">
        <f>IF(E15="","",IF(OR(B15="",C15="",D15=""),"Missing period/date",IF(L15&lt;0,"Check gross pay",IF(R15&lt;0,"Deductions exceed gross","Review statutory amounts"))))</f>
        <v/>
      </c>
      <c r="W15" s="42" t="n"/>
      <c r="X15" s="47" t="n"/>
    </row>
    <row r="16">
      <c r="A16" s="42" t="n"/>
      <c r="B16" s="39" t="n"/>
      <c r="C16" s="39" t="n"/>
      <c r="D16" s="39" t="n"/>
      <c r="E16" s="42" t="n"/>
      <c r="F16" s="43">
        <f>IFERROR(INDEX('Employee Database'!$B$3:$B$202,MATCH(E16,'Employee Database'!$A$3:$A$202,0)),"")</f>
        <v/>
      </c>
      <c r="G16" s="43">
        <f>IFERROR(INDEX('Employee Database'!$F$3:$F$202,MATCH(E16,'Employee Database'!$A$3:$A$202,0)),"")</f>
        <v/>
      </c>
      <c r="H16" s="43">
        <f>IFERROR(INDEX('Employee Database'!$I$3:$I$202,MATCH(E16,'Employee Database'!$A$3:$A$202,0)),"")</f>
        <v/>
      </c>
      <c r="I16" s="44">
        <f>IFERROR(IF(H16="Monthly",INDEX('Employee Database'!$J$3:$J$202,MATCH(E16,'Employee Database'!$A$3:$A$202,0))/12,IF(H16="Weekly",INDEX('Employee Database'!$J$3:$J$202,MATCH(E16,'Employee Database'!$A$3:$A$202,0))/52,IF(H16="Fortnightly",INDEX('Employee Database'!$J$3:$J$202,MATCH(E16,'Employee Database'!$A$3:$A$202,0))/26,IF(H16="Four-weekly",INDEX('Employee Database'!$J$3:$J$202,MATCH(E16,'Employee Database'!$A$3:$A$202,0))/13,0))))),0)</f>
        <v/>
      </c>
      <c r="J16" s="45" t="n"/>
      <c r="K16" s="45" t="n"/>
      <c r="L16" s="44">
        <f>SUM(I16:K16)</f>
        <v/>
      </c>
      <c r="M16" s="45" t="n"/>
      <c r="N16" s="45" t="n"/>
      <c r="O16" s="44">
        <f>IFERROR(ROUND(L16*INDEX('Employee Database'!$L$3:$L$202,MATCH(E16,'Employee Database'!$A$3:$A$202,0))/100,2),0)</f>
        <v/>
      </c>
      <c r="P16" s="45" t="n"/>
      <c r="Q16" s="44">
        <f>SUM(M16:P16)</f>
        <v/>
      </c>
      <c r="R16" s="44">
        <f>L16-Q16</f>
        <v/>
      </c>
      <c r="S16" s="45" t="n"/>
      <c r="T16" s="44">
        <f>IFERROR(ROUND(L16*INDEX('Employee Database'!$M$3:$M$202,MATCH(E16,'Employee Database'!$A$3:$A$202,0))/100,2),0)</f>
        <v/>
      </c>
      <c r="U16" s="44">
        <f>SUM(L16,S16,T16)</f>
        <v/>
      </c>
      <c r="V16" s="46">
        <f>IF(E16="","",IF(OR(B16="",C16="",D16=""),"Missing period/date",IF(L16&lt;0,"Check gross pay",IF(R16&lt;0,"Deductions exceed gross","Review statutory amounts"))))</f>
        <v/>
      </c>
      <c r="W16" s="42" t="n"/>
      <c r="X16" s="47" t="n"/>
    </row>
    <row r="17">
      <c r="A17" s="42" t="n"/>
      <c r="B17" s="39" t="n"/>
      <c r="C17" s="39" t="n"/>
      <c r="D17" s="39" t="n"/>
      <c r="E17" s="42" t="n"/>
      <c r="F17" s="43">
        <f>IFERROR(INDEX('Employee Database'!$B$3:$B$202,MATCH(E17,'Employee Database'!$A$3:$A$202,0)),"")</f>
        <v/>
      </c>
      <c r="G17" s="43">
        <f>IFERROR(INDEX('Employee Database'!$F$3:$F$202,MATCH(E17,'Employee Database'!$A$3:$A$202,0)),"")</f>
        <v/>
      </c>
      <c r="H17" s="43">
        <f>IFERROR(INDEX('Employee Database'!$I$3:$I$202,MATCH(E17,'Employee Database'!$A$3:$A$202,0)),"")</f>
        <v/>
      </c>
      <c r="I17" s="44">
        <f>IFERROR(IF(H17="Monthly",INDEX('Employee Database'!$J$3:$J$202,MATCH(E17,'Employee Database'!$A$3:$A$202,0))/12,IF(H17="Weekly",INDEX('Employee Database'!$J$3:$J$202,MATCH(E17,'Employee Database'!$A$3:$A$202,0))/52,IF(H17="Fortnightly",INDEX('Employee Database'!$J$3:$J$202,MATCH(E17,'Employee Database'!$A$3:$A$202,0))/26,IF(H17="Four-weekly",INDEX('Employee Database'!$J$3:$J$202,MATCH(E17,'Employee Database'!$A$3:$A$202,0))/13,0))))),0)</f>
        <v/>
      </c>
      <c r="J17" s="45" t="n"/>
      <c r="K17" s="45" t="n"/>
      <c r="L17" s="44">
        <f>SUM(I17:K17)</f>
        <v/>
      </c>
      <c r="M17" s="45" t="n"/>
      <c r="N17" s="45" t="n"/>
      <c r="O17" s="44">
        <f>IFERROR(ROUND(L17*INDEX('Employee Database'!$L$3:$L$202,MATCH(E17,'Employee Database'!$A$3:$A$202,0))/100,2),0)</f>
        <v/>
      </c>
      <c r="P17" s="45" t="n"/>
      <c r="Q17" s="44">
        <f>SUM(M17:P17)</f>
        <v/>
      </c>
      <c r="R17" s="44">
        <f>L17-Q17</f>
        <v/>
      </c>
      <c r="S17" s="45" t="n"/>
      <c r="T17" s="44">
        <f>IFERROR(ROUND(L17*INDEX('Employee Database'!$M$3:$M$202,MATCH(E17,'Employee Database'!$A$3:$A$202,0))/100,2),0)</f>
        <v/>
      </c>
      <c r="U17" s="44">
        <f>SUM(L17,S17,T17)</f>
        <v/>
      </c>
      <c r="V17" s="46">
        <f>IF(E17="","",IF(OR(B17="",C17="",D17=""),"Missing period/date",IF(L17&lt;0,"Check gross pay",IF(R17&lt;0,"Deductions exceed gross","Review statutory amounts"))))</f>
        <v/>
      </c>
      <c r="W17" s="42" t="n"/>
      <c r="X17" s="47" t="n"/>
    </row>
    <row r="18">
      <c r="A18" s="42" t="n"/>
      <c r="B18" s="39" t="n"/>
      <c r="C18" s="39" t="n"/>
      <c r="D18" s="39" t="n"/>
      <c r="E18" s="42" t="n"/>
      <c r="F18" s="43">
        <f>IFERROR(INDEX('Employee Database'!$B$3:$B$202,MATCH(E18,'Employee Database'!$A$3:$A$202,0)),"")</f>
        <v/>
      </c>
      <c r="G18" s="43">
        <f>IFERROR(INDEX('Employee Database'!$F$3:$F$202,MATCH(E18,'Employee Database'!$A$3:$A$202,0)),"")</f>
        <v/>
      </c>
      <c r="H18" s="43">
        <f>IFERROR(INDEX('Employee Database'!$I$3:$I$202,MATCH(E18,'Employee Database'!$A$3:$A$202,0)),"")</f>
        <v/>
      </c>
      <c r="I18" s="44">
        <f>IFERROR(IF(H18="Monthly",INDEX('Employee Database'!$J$3:$J$202,MATCH(E18,'Employee Database'!$A$3:$A$202,0))/12,IF(H18="Weekly",INDEX('Employee Database'!$J$3:$J$202,MATCH(E18,'Employee Database'!$A$3:$A$202,0))/52,IF(H18="Fortnightly",INDEX('Employee Database'!$J$3:$J$202,MATCH(E18,'Employee Database'!$A$3:$A$202,0))/26,IF(H18="Four-weekly",INDEX('Employee Database'!$J$3:$J$202,MATCH(E18,'Employee Database'!$A$3:$A$202,0))/13,0))))),0)</f>
        <v/>
      </c>
      <c r="J18" s="45" t="n"/>
      <c r="K18" s="45" t="n"/>
      <c r="L18" s="44">
        <f>SUM(I18:K18)</f>
        <v/>
      </c>
      <c r="M18" s="45" t="n"/>
      <c r="N18" s="45" t="n"/>
      <c r="O18" s="44">
        <f>IFERROR(ROUND(L18*INDEX('Employee Database'!$L$3:$L$202,MATCH(E18,'Employee Database'!$A$3:$A$202,0))/100,2),0)</f>
        <v/>
      </c>
      <c r="P18" s="45" t="n"/>
      <c r="Q18" s="44">
        <f>SUM(M18:P18)</f>
        <v/>
      </c>
      <c r="R18" s="44">
        <f>L18-Q18</f>
        <v/>
      </c>
      <c r="S18" s="45" t="n"/>
      <c r="T18" s="44">
        <f>IFERROR(ROUND(L18*INDEX('Employee Database'!$M$3:$M$202,MATCH(E18,'Employee Database'!$A$3:$A$202,0))/100,2),0)</f>
        <v/>
      </c>
      <c r="U18" s="44">
        <f>SUM(L18,S18,T18)</f>
        <v/>
      </c>
      <c r="V18" s="46">
        <f>IF(E18="","",IF(OR(B18="",C18="",D18=""),"Missing period/date",IF(L18&lt;0,"Check gross pay",IF(R18&lt;0,"Deductions exceed gross","Review statutory amounts"))))</f>
        <v/>
      </c>
      <c r="W18" s="42" t="n"/>
      <c r="X18" s="47" t="n"/>
    </row>
    <row r="19">
      <c r="A19" s="42" t="n"/>
      <c r="B19" s="39" t="n"/>
      <c r="C19" s="39" t="n"/>
      <c r="D19" s="39" t="n"/>
      <c r="E19" s="42" t="n"/>
      <c r="F19" s="43">
        <f>IFERROR(INDEX('Employee Database'!$B$3:$B$202,MATCH(E19,'Employee Database'!$A$3:$A$202,0)),"")</f>
        <v/>
      </c>
      <c r="G19" s="43">
        <f>IFERROR(INDEX('Employee Database'!$F$3:$F$202,MATCH(E19,'Employee Database'!$A$3:$A$202,0)),"")</f>
        <v/>
      </c>
      <c r="H19" s="43">
        <f>IFERROR(INDEX('Employee Database'!$I$3:$I$202,MATCH(E19,'Employee Database'!$A$3:$A$202,0)),"")</f>
        <v/>
      </c>
      <c r="I19" s="44">
        <f>IFERROR(IF(H19="Monthly",INDEX('Employee Database'!$J$3:$J$202,MATCH(E19,'Employee Database'!$A$3:$A$202,0))/12,IF(H19="Weekly",INDEX('Employee Database'!$J$3:$J$202,MATCH(E19,'Employee Database'!$A$3:$A$202,0))/52,IF(H19="Fortnightly",INDEX('Employee Database'!$J$3:$J$202,MATCH(E19,'Employee Database'!$A$3:$A$202,0))/26,IF(H19="Four-weekly",INDEX('Employee Database'!$J$3:$J$202,MATCH(E19,'Employee Database'!$A$3:$A$202,0))/13,0))))),0)</f>
        <v/>
      </c>
      <c r="J19" s="45" t="n"/>
      <c r="K19" s="45" t="n"/>
      <c r="L19" s="44">
        <f>SUM(I19:K19)</f>
        <v/>
      </c>
      <c r="M19" s="45" t="n"/>
      <c r="N19" s="45" t="n"/>
      <c r="O19" s="44">
        <f>IFERROR(ROUND(L19*INDEX('Employee Database'!$L$3:$L$202,MATCH(E19,'Employee Database'!$A$3:$A$202,0))/100,2),0)</f>
        <v/>
      </c>
      <c r="P19" s="45" t="n"/>
      <c r="Q19" s="44">
        <f>SUM(M19:P19)</f>
        <v/>
      </c>
      <c r="R19" s="44">
        <f>L19-Q19</f>
        <v/>
      </c>
      <c r="S19" s="45" t="n"/>
      <c r="T19" s="44">
        <f>IFERROR(ROUND(L19*INDEX('Employee Database'!$M$3:$M$202,MATCH(E19,'Employee Database'!$A$3:$A$202,0))/100,2),0)</f>
        <v/>
      </c>
      <c r="U19" s="44">
        <f>SUM(L19,S19,T19)</f>
        <v/>
      </c>
      <c r="V19" s="46">
        <f>IF(E19="","",IF(OR(B19="",C19="",D19=""),"Missing period/date",IF(L19&lt;0,"Check gross pay",IF(R19&lt;0,"Deductions exceed gross","Review statutory amounts"))))</f>
        <v/>
      </c>
      <c r="W19" s="42" t="n"/>
      <c r="X19" s="47" t="n"/>
    </row>
    <row r="20">
      <c r="A20" s="42" t="n"/>
      <c r="B20" s="39" t="n"/>
      <c r="C20" s="39" t="n"/>
      <c r="D20" s="39" t="n"/>
      <c r="E20" s="42" t="n"/>
      <c r="F20" s="43">
        <f>IFERROR(INDEX('Employee Database'!$B$3:$B$202,MATCH(E20,'Employee Database'!$A$3:$A$202,0)),"")</f>
        <v/>
      </c>
      <c r="G20" s="43">
        <f>IFERROR(INDEX('Employee Database'!$F$3:$F$202,MATCH(E20,'Employee Database'!$A$3:$A$202,0)),"")</f>
        <v/>
      </c>
      <c r="H20" s="43">
        <f>IFERROR(INDEX('Employee Database'!$I$3:$I$202,MATCH(E20,'Employee Database'!$A$3:$A$202,0)),"")</f>
        <v/>
      </c>
      <c r="I20" s="44">
        <f>IFERROR(IF(H20="Monthly",INDEX('Employee Database'!$J$3:$J$202,MATCH(E20,'Employee Database'!$A$3:$A$202,0))/12,IF(H20="Weekly",INDEX('Employee Database'!$J$3:$J$202,MATCH(E20,'Employee Database'!$A$3:$A$202,0))/52,IF(H20="Fortnightly",INDEX('Employee Database'!$J$3:$J$202,MATCH(E20,'Employee Database'!$A$3:$A$202,0))/26,IF(H20="Four-weekly",INDEX('Employee Database'!$J$3:$J$202,MATCH(E20,'Employee Database'!$A$3:$A$202,0))/13,0))))),0)</f>
        <v/>
      </c>
      <c r="J20" s="45" t="n"/>
      <c r="K20" s="45" t="n"/>
      <c r="L20" s="44">
        <f>SUM(I20:K20)</f>
        <v/>
      </c>
      <c r="M20" s="45" t="n"/>
      <c r="N20" s="45" t="n"/>
      <c r="O20" s="44">
        <f>IFERROR(ROUND(L20*INDEX('Employee Database'!$L$3:$L$202,MATCH(E20,'Employee Database'!$A$3:$A$202,0))/100,2),0)</f>
        <v/>
      </c>
      <c r="P20" s="45" t="n"/>
      <c r="Q20" s="44">
        <f>SUM(M20:P20)</f>
        <v/>
      </c>
      <c r="R20" s="44">
        <f>L20-Q20</f>
        <v/>
      </c>
      <c r="S20" s="45" t="n"/>
      <c r="T20" s="44">
        <f>IFERROR(ROUND(L20*INDEX('Employee Database'!$M$3:$M$202,MATCH(E20,'Employee Database'!$A$3:$A$202,0))/100,2),0)</f>
        <v/>
      </c>
      <c r="U20" s="44">
        <f>SUM(L20,S20,T20)</f>
        <v/>
      </c>
      <c r="V20" s="46">
        <f>IF(E20="","",IF(OR(B20="",C20="",D20=""),"Missing period/date",IF(L20&lt;0,"Check gross pay",IF(R20&lt;0,"Deductions exceed gross","Review statutory amounts"))))</f>
        <v/>
      </c>
      <c r="W20" s="42" t="n"/>
      <c r="X20" s="47" t="n"/>
    </row>
    <row r="21">
      <c r="A21" s="42" t="n"/>
      <c r="B21" s="39" t="n"/>
      <c r="C21" s="39" t="n"/>
      <c r="D21" s="39" t="n"/>
      <c r="E21" s="42" t="n"/>
      <c r="F21" s="43">
        <f>IFERROR(INDEX('Employee Database'!$B$3:$B$202,MATCH(E21,'Employee Database'!$A$3:$A$202,0)),"")</f>
        <v/>
      </c>
      <c r="G21" s="43">
        <f>IFERROR(INDEX('Employee Database'!$F$3:$F$202,MATCH(E21,'Employee Database'!$A$3:$A$202,0)),"")</f>
        <v/>
      </c>
      <c r="H21" s="43">
        <f>IFERROR(INDEX('Employee Database'!$I$3:$I$202,MATCH(E21,'Employee Database'!$A$3:$A$202,0)),"")</f>
        <v/>
      </c>
      <c r="I21" s="44">
        <f>IFERROR(IF(H21="Monthly",INDEX('Employee Database'!$J$3:$J$202,MATCH(E21,'Employee Database'!$A$3:$A$202,0))/12,IF(H21="Weekly",INDEX('Employee Database'!$J$3:$J$202,MATCH(E21,'Employee Database'!$A$3:$A$202,0))/52,IF(H21="Fortnightly",INDEX('Employee Database'!$J$3:$J$202,MATCH(E21,'Employee Database'!$A$3:$A$202,0))/26,IF(H21="Four-weekly",INDEX('Employee Database'!$J$3:$J$202,MATCH(E21,'Employee Database'!$A$3:$A$202,0))/13,0))))),0)</f>
        <v/>
      </c>
      <c r="J21" s="45" t="n"/>
      <c r="K21" s="45" t="n"/>
      <c r="L21" s="44">
        <f>SUM(I21:K21)</f>
        <v/>
      </c>
      <c r="M21" s="45" t="n"/>
      <c r="N21" s="45" t="n"/>
      <c r="O21" s="44">
        <f>IFERROR(ROUND(L21*INDEX('Employee Database'!$L$3:$L$202,MATCH(E21,'Employee Database'!$A$3:$A$202,0))/100,2),0)</f>
        <v/>
      </c>
      <c r="P21" s="45" t="n"/>
      <c r="Q21" s="44">
        <f>SUM(M21:P21)</f>
        <v/>
      </c>
      <c r="R21" s="44">
        <f>L21-Q21</f>
        <v/>
      </c>
      <c r="S21" s="45" t="n"/>
      <c r="T21" s="44">
        <f>IFERROR(ROUND(L21*INDEX('Employee Database'!$M$3:$M$202,MATCH(E21,'Employee Database'!$A$3:$A$202,0))/100,2),0)</f>
        <v/>
      </c>
      <c r="U21" s="44">
        <f>SUM(L21,S21,T21)</f>
        <v/>
      </c>
      <c r="V21" s="46">
        <f>IF(E21="","",IF(OR(B21="",C21="",D21=""),"Missing period/date",IF(L21&lt;0,"Check gross pay",IF(R21&lt;0,"Deductions exceed gross","Review statutory amounts"))))</f>
        <v/>
      </c>
      <c r="W21" s="42" t="n"/>
      <c r="X21" s="47" t="n"/>
    </row>
    <row r="22">
      <c r="A22" s="42" t="n"/>
      <c r="B22" s="39" t="n"/>
      <c r="C22" s="39" t="n"/>
      <c r="D22" s="39" t="n"/>
      <c r="E22" s="42" t="n"/>
      <c r="F22" s="43">
        <f>IFERROR(INDEX('Employee Database'!$B$3:$B$202,MATCH(E22,'Employee Database'!$A$3:$A$202,0)),"")</f>
        <v/>
      </c>
      <c r="G22" s="43">
        <f>IFERROR(INDEX('Employee Database'!$F$3:$F$202,MATCH(E22,'Employee Database'!$A$3:$A$202,0)),"")</f>
        <v/>
      </c>
      <c r="H22" s="43">
        <f>IFERROR(INDEX('Employee Database'!$I$3:$I$202,MATCH(E22,'Employee Database'!$A$3:$A$202,0)),"")</f>
        <v/>
      </c>
      <c r="I22" s="44">
        <f>IFERROR(IF(H22="Monthly",INDEX('Employee Database'!$J$3:$J$202,MATCH(E22,'Employee Database'!$A$3:$A$202,0))/12,IF(H22="Weekly",INDEX('Employee Database'!$J$3:$J$202,MATCH(E22,'Employee Database'!$A$3:$A$202,0))/52,IF(H22="Fortnightly",INDEX('Employee Database'!$J$3:$J$202,MATCH(E22,'Employee Database'!$A$3:$A$202,0))/26,IF(H22="Four-weekly",INDEX('Employee Database'!$J$3:$J$202,MATCH(E22,'Employee Database'!$A$3:$A$202,0))/13,0))))),0)</f>
        <v/>
      </c>
      <c r="J22" s="45" t="n"/>
      <c r="K22" s="45" t="n"/>
      <c r="L22" s="44">
        <f>SUM(I22:K22)</f>
        <v/>
      </c>
      <c r="M22" s="45" t="n"/>
      <c r="N22" s="45" t="n"/>
      <c r="O22" s="44">
        <f>IFERROR(ROUND(L22*INDEX('Employee Database'!$L$3:$L$202,MATCH(E22,'Employee Database'!$A$3:$A$202,0))/100,2),0)</f>
        <v/>
      </c>
      <c r="P22" s="45" t="n"/>
      <c r="Q22" s="44">
        <f>SUM(M22:P22)</f>
        <v/>
      </c>
      <c r="R22" s="44">
        <f>L22-Q22</f>
        <v/>
      </c>
      <c r="S22" s="45" t="n"/>
      <c r="T22" s="44">
        <f>IFERROR(ROUND(L22*INDEX('Employee Database'!$M$3:$M$202,MATCH(E22,'Employee Database'!$A$3:$A$202,0))/100,2),0)</f>
        <v/>
      </c>
      <c r="U22" s="44">
        <f>SUM(L22,S22,T22)</f>
        <v/>
      </c>
      <c r="V22" s="46">
        <f>IF(E22="","",IF(OR(B22="",C22="",D22=""),"Missing period/date",IF(L22&lt;0,"Check gross pay",IF(R22&lt;0,"Deductions exceed gross","Review statutory amounts"))))</f>
        <v/>
      </c>
      <c r="W22" s="42" t="n"/>
      <c r="X22" s="47" t="n"/>
    </row>
    <row r="23">
      <c r="A23" s="42" t="n"/>
      <c r="B23" s="39" t="n"/>
      <c r="C23" s="39" t="n"/>
      <c r="D23" s="39" t="n"/>
      <c r="E23" s="42" t="n"/>
      <c r="F23" s="43">
        <f>IFERROR(INDEX('Employee Database'!$B$3:$B$202,MATCH(E23,'Employee Database'!$A$3:$A$202,0)),"")</f>
        <v/>
      </c>
      <c r="G23" s="43">
        <f>IFERROR(INDEX('Employee Database'!$F$3:$F$202,MATCH(E23,'Employee Database'!$A$3:$A$202,0)),"")</f>
        <v/>
      </c>
      <c r="H23" s="43">
        <f>IFERROR(INDEX('Employee Database'!$I$3:$I$202,MATCH(E23,'Employee Database'!$A$3:$A$202,0)),"")</f>
        <v/>
      </c>
      <c r="I23" s="44">
        <f>IFERROR(IF(H23="Monthly",INDEX('Employee Database'!$J$3:$J$202,MATCH(E23,'Employee Database'!$A$3:$A$202,0))/12,IF(H23="Weekly",INDEX('Employee Database'!$J$3:$J$202,MATCH(E23,'Employee Database'!$A$3:$A$202,0))/52,IF(H23="Fortnightly",INDEX('Employee Database'!$J$3:$J$202,MATCH(E23,'Employee Database'!$A$3:$A$202,0))/26,IF(H23="Four-weekly",INDEX('Employee Database'!$J$3:$J$202,MATCH(E23,'Employee Database'!$A$3:$A$202,0))/13,0))))),0)</f>
        <v/>
      </c>
      <c r="J23" s="45" t="n"/>
      <c r="K23" s="45" t="n"/>
      <c r="L23" s="44">
        <f>SUM(I23:K23)</f>
        <v/>
      </c>
      <c r="M23" s="45" t="n"/>
      <c r="N23" s="45" t="n"/>
      <c r="O23" s="44">
        <f>IFERROR(ROUND(L23*INDEX('Employee Database'!$L$3:$L$202,MATCH(E23,'Employee Database'!$A$3:$A$202,0))/100,2),0)</f>
        <v/>
      </c>
      <c r="P23" s="45" t="n"/>
      <c r="Q23" s="44">
        <f>SUM(M23:P23)</f>
        <v/>
      </c>
      <c r="R23" s="44">
        <f>L23-Q23</f>
        <v/>
      </c>
      <c r="S23" s="45" t="n"/>
      <c r="T23" s="44">
        <f>IFERROR(ROUND(L23*INDEX('Employee Database'!$M$3:$M$202,MATCH(E23,'Employee Database'!$A$3:$A$202,0))/100,2),0)</f>
        <v/>
      </c>
      <c r="U23" s="44">
        <f>SUM(L23,S23,T23)</f>
        <v/>
      </c>
      <c r="V23" s="46">
        <f>IF(E23="","",IF(OR(B23="",C23="",D23=""),"Missing period/date",IF(L23&lt;0,"Check gross pay",IF(R23&lt;0,"Deductions exceed gross","Review statutory amounts"))))</f>
        <v/>
      </c>
      <c r="W23" s="42" t="n"/>
      <c r="X23" s="47" t="n"/>
    </row>
    <row r="24">
      <c r="A24" s="42" t="n"/>
      <c r="B24" s="39" t="n"/>
      <c r="C24" s="39" t="n"/>
      <c r="D24" s="39" t="n"/>
      <c r="E24" s="42" t="n"/>
      <c r="F24" s="43">
        <f>IFERROR(INDEX('Employee Database'!$B$3:$B$202,MATCH(E24,'Employee Database'!$A$3:$A$202,0)),"")</f>
        <v/>
      </c>
      <c r="G24" s="43">
        <f>IFERROR(INDEX('Employee Database'!$F$3:$F$202,MATCH(E24,'Employee Database'!$A$3:$A$202,0)),"")</f>
        <v/>
      </c>
      <c r="H24" s="43">
        <f>IFERROR(INDEX('Employee Database'!$I$3:$I$202,MATCH(E24,'Employee Database'!$A$3:$A$202,0)),"")</f>
        <v/>
      </c>
      <c r="I24" s="44">
        <f>IFERROR(IF(H24="Monthly",INDEX('Employee Database'!$J$3:$J$202,MATCH(E24,'Employee Database'!$A$3:$A$202,0))/12,IF(H24="Weekly",INDEX('Employee Database'!$J$3:$J$202,MATCH(E24,'Employee Database'!$A$3:$A$202,0))/52,IF(H24="Fortnightly",INDEX('Employee Database'!$J$3:$J$202,MATCH(E24,'Employee Database'!$A$3:$A$202,0))/26,IF(H24="Four-weekly",INDEX('Employee Database'!$J$3:$J$202,MATCH(E24,'Employee Database'!$A$3:$A$202,0))/13,0))))),0)</f>
        <v/>
      </c>
      <c r="J24" s="45" t="n"/>
      <c r="K24" s="45" t="n"/>
      <c r="L24" s="44">
        <f>SUM(I24:K24)</f>
        <v/>
      </c>
      <c r="M24" s="45" t="n"/>
      <c r="N24" s="45" t="n"/>
      <c r="O24" s="44">
        <f>IFERROR(ROUND(L24*INDEX('Employee Database'!$L$3:$L$202,MATCH(E24,'Employee Database'!$A$3:$A$202,0))/100,2),0)</f>
        <v/>
      </c>
      <c r="P24" s="45" t="n"/>
      <c r="Q24" s="44">
        <f>SUM(M24:P24)</f>
        <v/>
      </c>
      <c r="R24" s="44">
        <f>L24-Q24</f>
        <v/>
      </c>
      <c r="S24" s="45" t="n"/>
      <c r="T24" s="44">
        <f>IFERROR(ROUND(L24*INDEX('Employee Database'!$M$3:$M$202,MATCH(E24,'Employee Database'!$A$3:$A$202,0))/100,2),0)</f>
        <v/>
      </c>
      <c r="U24" s="44">
        <f>SUM(L24,S24,T24)</f>
        <v/>
      </c>
      <c r="V24" s="46">
        <f>IF(E24="","",IF(OR(B24="",C24="",D24=""),"Missing period/date",IF(L24&lt;0,"Check gross pay",IF(R24&lt;0,"Deductions exceed gross","Review statutory amounts"))))</f>
        <v/>
      </c>
      <c r="W24" s="42" t="n"/>
      <c r="X24" s="47" t="n"/>
    </row>
    <row r="25">
      <c r="A25" s="42" t="n"/>
      <c r="B25" s="39" t="n"/>
      <c r="C25" s="39" t="n"/>
      <c r="D25" s="39" t="n"/>
      <c r="E25" s="42" t="n"/>
      <c r="F25" s="43">
        <f>IFERROR(INDEX('Employee Database'!$B$3:$B$202,MATCH(E25,'Employee Database'!$A$3:$A$202,0)),"")</f>
        <v/>
      </c>
      <c r="G25" s="43">
        <f>IFERROR(INDEX('Employee Database'!$F$3:$F$202,MATCH(E25,'Employee Database'!$A$3:$A$202,0)),"")</f>
        <v/>
      </c>
      <c r="H25" s="43">
        <f>IFERROR(INDEX('Employee Database'!$I$3:$I$202,MATCH(E25,'Employee Database'!$A$3:$A$202,0)),"")</f>
        <v/>
      </c>
      <c r="I25" s="44">
        <f>IFERROR(IF(H25="Monthly",INDEX('Employee Database'!$J$3:$J$202,MATCH(E25,'Employee Database'!$A$3:$A$202,0))/12,IF(H25="Weekly",INDEX('Employee Database'!$J$3:$J$202,MATCH(E25,'Employee Database'!$A$3:$A$202,0))/52,IF(H25="Fortnightly",INDEX('Employee Database'!$J$3:$J$202,MATCH(E25,'Employee Database'!$A$3:$A$202,0))/26,IF(H25="Four-weekly",INDEX('Employee Database'!$J$3:$J$202,MATCH(E25,'Employee Database'!$A$3:$A$202,0))/13,0))))),0)</f>
        <v/>
      </c>
      <c r="J25" s="45" t="n"/>
      <c r="K25" s="45" t="n"/>
      <c r="L25" s="44">
        <f>SUM(I25:K25)</f>
        <v/>
      </c>
      <c r="M25" s="45" t="n"/>
      <c r="N25" s="45" t="n"/>
      <c r="O25" s="44">
        <f>IFERROR(ROUND(L25*INDEX('Employee Database'!$L$3:$L$202,MATCH(E25,'Employee Database'!$A$3:$A$202,0))/100,2),0)</f>
        <v/>
      </c>
      <c r="P25" s="45" t="n"/>
      <c r="Q25" s="44">
        <f>SUM(M25:P25)</f>
        <v/>
      </c>
      <c r="R25" s="44">
        <f>L25-Q25</f>
        <v/>
      </c>
      <c r="S25" s="45" t="n"/>
      <c r="T25" s="44">
        <f>IFERROR(ROUND(L25*INDEX('Employee Database'!$M$3:$M$202,MATCH(E25,'Employee Database'!$A$3:$A$202,0))/100,2),0)</f>
        <v/>
      </c>
      <c r="U25" s="44">
        <f>SUM(L25,S25,T25)</f>
        <v/>
      </c>
      <c r="V25" s="46">
        <f>IF(E25="","",IF(OR(B25="",C25="",D25=""),"Missing period/date",IF(L25&lt;0,"Check gross pay",IF(R25&lt;0,"Deductions exceed gross","Review statutory amounts"))))</f>
        <v/>
      </c>
      <c r="W25" s="42" t="n"/>
      <c r="X25" s="47" t="n"/>
    </row>
    <row r="26">
      <c r="A26" s="42" t="n"/>
      <c r="B26" s="39" t="n"/>
      <c r="C26" s="39" t="n"/>
      <c r="D26" s="39" t="n"/>
      <c r="E26" s="42" t="n"/>
      <c r="F26" s="43">
        <f>IFERROR(INDEX('Employee Database'!$B$3:$B$202,MATCH(E26,'Employee Database'!$A$3:$A$202,0)),"")</f>
        <v/>
      </c>
      <c r="G26" s="43">
        <f>IFERROR(INDEX('Employee Database'!$F$3:$F$202,MATCH(E26,'Employee Database'!$A$3:$A$202,0)),"")</f>
        <v/>
      </c>
      <c r="H26" s="43">
        <f>IFERROR(INDEX('Employee Database'!$I$3:$I$202,MATCH(E26,'Employee Database'!$A$3:$A$202,0)),"")</f>
        <v/>
      </c>
      <c r="I26" s="44">
        <f>IFERROR(IF(H26="Monthly",INDEX('Employee Database'!$J$3:$J$202,MATCH(E26,'Employee Database'!$A$3:$A$202,0))/12,IF(H26="Weekly",INDEX('Employee Database'!$J$3:$J$202,MATCH(E26,'Employee Database'!$A$3:$A$202,0))/52,IF(H26="Fortnightly",INDEX('Employee Database'!$J$3:$J$202,MATCH(E26,'Employee Database'!$A$3:$A$202,0))/26,IF(H26="Four-weekly",INDEX('Employee Database'!$J$3:$J$202,MATCH(E26,'Employee Database'!$A$3:$A$202,0))/13,0))))),0)</f>
        <v/>
      </c>
      <c r="J26" s="45" t="n"/>
      <c r="K26" s="45" t="n"/>
      <c r="L26" s="44">
        <f>SUM(I26:K26)</f>
        <v/>
      </c>
      <c r="M26" s="45" t="n"/>
      <c r="N26" s="45" t="n"/>
      <c r="O26" s="44">
        <f>IFERROR(ROUND(L26*INDEX('Employee Database'!$L$3:$L$202,MATCH(E26,'Employee Database'!$A$3:$A$202,0))/100,2),0)</f>
        <v/>
      </c>
      <c r="P26" s="45" t="n"/>
      <c r="Q26" s="44">
        <f>SUM(M26:P26)</f>
        <v/>
      </c>
      <c r="R26" s="44">
        <f>L26-Q26</f>
        <v/>
      </c>
      <c r="S26" s="45" t="n"/>
      <c r="T26" s="44">
        <f>IFERROR(ROUND(L26*INDEX('Employee Database'!$M$3:$M$202,MATCH(E26,'Employee Database'!$A$3:$A$202,0))/100,2),0)</f>
        <v/>
      </c>
      <c r="U26" s="44">
        <f>SUM(L26,S26,T26)</f>
        <v/>
      </c>
      <c r="V26" s="46">
        <f>IF(E26="","",IF(OR(B26="",C26="",D26=""),"Missing period/date",IF(L26&lt;0,"Check gross pay",IF(R26&lt;0,"Deductions exceed gross","Review statutory amounts"))))</f>
        <v/>
      </c>
      <c r="W26" s="42" t="n"/>
      <c r="X26" s="47" t="n"/>
    </row>
    <row r="27">
      <c r="A27" s="42" t="n"/>
      <c r="B27" s="39" t="n"/>
      <c r="C27" s="39" t="n"/>
      <c r="D27" s="39" t="n"/>
      <c r="E27" s="42" t="n"/>
      <c r="F27" s="43">
        <f>IFERROR(INDEX('Employee Database'!$B$3:$B$202,MATCH(E27,'Employee Database'!$A$3:$A$202,0)),"")</f>
        <v/>
      </c>
      <c r="G27" s="43">
        <f>IFERROR(INDEX('Employee Database'!$F$3:$F$202,MATCH(E27,'Employee Database'!$A$3:$A$202,0)),"")</f>
        <v/>
      </c>
      <c r="H27" s="43">
        <f>IFERROR(INDEX('Employee Database'!$I$3:$I$202,MATCH(E27,'Employee Database'!$A$3:$A$202,0)),"")</f>
        <v/>
      </c>
      <c r="I27" s="44">
        <f>IFERROR(IF(H27="Monthly",INDEX('Employee Database'!$J$3:$J$202,MATCH(E27,'Employee Database'!$A$3:$A$202,0))/12,IF(H27="Weekly",INDEX('Employee Database'!$J$3:$J$202,MATCH(E27,'Employee Database'!$A$3:$A$202,0))/52,IF(H27="Fortnightly",INDEX('Employee Database'!$J$3:$J$202,MATCH(E27,'Employee Database'!$A$3:$A$202,0))/26,IF(H27="Four-weekly",INDEX('Employee Database'!$J$3:$J$202,MATCH(E27,'Employee Database'!$A$3:$A$202,0))/13,0))))),0)</f>
        <v/>
      </c>
      <c r="J27" s="45" t="n"/>
      <c r="K27" s="45" t="n"/>
      <c r="L27" s="44">
        <f>SUM(I27:K27)</f>
        <v/>
      </c>
      <c r="M27" s="45" t="n"/>
      <c r="N27" s="45" t="n"/>
      <c r="O27" s="44">
        <f>IFERROR(ROUND(L27*INDEX('Employee Database'!$L$3:$L$202,MATCH(E27,'Employee Database'!$A$3:$A$202,0))/100,2),0)</f>
        <v/>
      </c>
      <c r="P27" s="45" t="n"/>
      <c r="Q27" s="44">
        <f>SUM(M27:P27)</f>
        <v/>
      </c>
      <c r="R27" s="44">
        <f>L27-Q27</f>
        <v/>
      </c>
      <c r="S27" s="45" t="n"/>
      <c r="T27" s="44">
        <f>IFERROR(ROUND(L27*INDEX('Employee Database'!$M$3:$M$202,MATCH(E27,'Employee Database'!$A$3:$A$202,0))/100,2),0)</f>
        <v/>
      </c>
      <c r="U27" s="44">
        <f>SUM(L27,S27,T27)</f>
        <v/>
      </c>
      <c r="V27" s="46">
        <f>IF(E27="","",IF(OR(B27="",C27="",D27=""),"Missing period/date",IF(L27&lt;0,"Check gross pay",IF(R27&lt;0,"Deductions exceed gross","Review statutory amounts"))))</f>
        <v/>
      </c>
      <c r="W27" s="42" t="n"/>
      <c r="X27" s="47" t="n"/>
    </row>
    <row r="28">
      <c r="A28" s="42" t="n"/>
      <c r="B28" s="39" t="n"/>
      <c r="C28" s="39" t="n"/>
      <c r="D28" s="39" t="n"/>
      <c r="E28" s="42" t="n"/>
      <c r="F28" s="43">
        <f>IFERROR(INDEX('Employee Database'!$B$3:$B$202,MATCH(E28,'Employee Database'!$A$3:$A$202,0)),"")</f>
        <v/>
      </c>
      <c r="G28" s="43">
        <f>IFERROR(INDEX('Employee Database'!$F$3:$F$202,MATCH(E28,'Employee Database'!$A$3:$A$202,0)),"")</f>
        <v/>
      </c>
      <c r="H28" s="43">
        <f>IFERROR(INDEX('Employee Database'!$I$3:$I$202,MATCH(E28,'Employee Database'!$A$3:$A$202,0)),"")</f>
        <v/>
      </c>
      <c r="I28" s="44">
        <f>IFERROR(IF(H28="Monthly",INDEX('Employee Database'!$J$3:$J$202,MATCH(E28,'Employee Database'!$A$3:$A$202,0))/12,IF(H28="Weekly",INDEX('Employee Database'!$J$3:$J$202,MATCH(E28,'Employee Database'!$A$3:$A$202,0))/52,IF(H28="Fortnightly",INDEX('Employee Database'!$J$3:$J$202,MATCH(E28,'Employee Database'!$A$3:$A$202,0))/26,IF(H28="Four-weekly",INDEX('Employee Database'!$J$3:$J$202,MATCH(E28,'Employee Database'!$A$3:$A$202,0))/13,0))))),0)</f>
        <v/>
      </c>
      <c r="J28" s="45" t="n"/>
      <c r="K28" s="45" t="n"/>
      <c r="L28" s="44">
        <f>SUM(I28:K28)</f>
        <v/>
      </c>
      <c r="M28" s="45" t="n"/>
      <c r="N28" s="45" t="n"/>
      <c r="O28" s="44">
        <f>IFERROR(ROUND(L28*INDEX('Employee Database'!$L$3:$L$202,MATCH(E28,'Employee Database'!$A$3:$A$202,0))/100,2),0)</f>
        <v/>
      </c>
      <c r="P28" s="45" t="n"/>
      <c r="Q28" s="44">
        <f>SUM(M28:P28)</f>
        <v/>
      </c>
      <c r="R28" s="44">
        <f>L28-Q28</f>
        <v/>
      </c>
      <c r="S28" s="45" t="n"/>
      <c r="T28" s="44">
        <f>IFERROR(ROUND(L28*INDEX('Employee Database'!$M$3:$M$202,MATCH(E28,'Employee Database'!$A$3:$A$202,0))/100,2),0)</f>
        <v/>
      </c>
      <c r="U28" s="44">
        <f>SUM(L28,S28,T28)</f>
        <v/>
      </c>
      <c r="V28" s="46">
        <f>IF(E28="","",IF(OR(B28="",C28="",D28=""),"Missing period/date",IF(L28&lt;0,"Check gross pay",IF(R28&lt;0,"Deductions exceed gross","Review statutory amounts"))))</f>
        <v/>
      </c>
      <c r="W28" s="42" t="n"/>
      <c r="X28" s="47" t="n"/>
    </row>
    <row r="29">
      <c r="A29" s="42" t="n"/>
      <c r="B29" s="39" t="n"/>
      <c r="C29" s="39" t="n"/>
      <c r="D29" s="39" t="n"/>
      <c r="E29" s="42" t="n"/>
      <c r="F29" s="43">
        <f>IFERROR(INDEX('Employee Database'!$B$3:$B$202,MATCH(E29,'Employee Database'!$A$3:$A$202,0)),"")</f>
        <v/>
      </c>
      <c r="G29" s="43">
        <f>IFERROR(INDEX('Employee Database'!$F$3:$F$202,MATCH(E29,'Employee Database'!$A$3:$A$202,0)),"")</f>
        <v/>
      </c>
      <c r="H29" s="43">
        <f>IFERROR(INDEX('Employee Database'!$I$3:$I$202,MATCH(E29,'Employee Database'!$A$3:$A$202,0)),"")</f>
        <v/>
      </c>
      <c r="I29" s="44">
        <f>IFERROR(IF(H29="Monthly",INDEX('Employee Database'!$J$3:$J$202,MATCH(E29,'Employee Database'!$A$3:$A$202,0))/12,IF(H29="Weekly",INDEX('Employee Database'!$J$3:$J$202,MATCH(E29,'Employee Database'!$A$3:$A$202,0))/52,IF(H29="Fortnightly",INDEX('Employee Database'!$J$3:$J$202,MATCH(E29,'Employee Database'!$A$3:$A$202,0))/26,IF(H29="Four-weekly",INDEX('Employee Database'!$J$3:$J$202,MATCH(E29,'Employee Database'!$A$3:$A$202,0))/13,0))))),0)</f>
        <v/>
      </c>
      <c r="J29" s="45" t="n"/>
      <c r="K29" s="45" t="n"/>
      <c r="L29" s="44">
        <f>SUM(I29:K29)</f>
        <v/>
      </c>
      <c r="M29" s="45" t="n"/>
      <c r="N29" s="45" t="n"/>
      <c r="O29" s="44">
        <f>IFERROR(ROUND(L29*INDEX('Employee Database'!$L$3:$L$202,MATCH(E29,'Employee Database'!$A$3:$A$202,0))/100,2),0)</f>
        <v/>
      </c>
      <c r="P29" s="45" t="n"/>
      <c r="Q29" s="44">
        <f>SUM(M29:P29)</f>
        <v/>
      </c>
      <c r="R29" s="44">
        <f>L29-Q29</f>
        <v/>
      </c>
      <c r="S29" s="45" t="n"/>
      <c r="T29" s="44">
        <f>IFERROR(ROUND(L29*INDEX('Employee Database'!$M$3:$M$202,MATCH(E29,'Employee Database'!$A$3:$A$202,0))/100,2),0)</f>
        <v/>
      </c>
      <c r="U29" s="44">
        <f>SUM(L29,S29,T29)</f>
        <v/>
      </c>
      <c r="V29" s="46">
        <f>IF(E29="","",IF(OR(B29="",C29="",D29=""),"Missing period/date",IF(L29&lt;0,"Check gross pay",IF(R29&lt;0,"Deductions exceed gross","Review statutory amounts"))))</f>
        <v/>
      </c>
      <c r="W29" s="42" t="n"/>
      <c r="X29" s="47" t="n"/>
    </row>
    <row r="30">
      <c r="A30" s="42" t="n"/>
      <c r="B30" s="39" t="n"/>
      <c r="C30" s="39" t="n"/>
      <c r="D30" s="39" t="n"/>
      <c r="E30" s="42" t="n"/>
      <c r="F30" s="43">
        <f>IFERROR(INDEX('Employee Database'!$B$3:$B$202,MATCH(E30,'Employee Database'!$A$3:$A$202,0)),"")</f>
        <v/>
      </c>
      <c r="G30" s="43">
        <f>IFERROR(INDEX('Employee Database'!$F$3:$F$202,MATCH(E30,'Employee Database'!$A$3:$A$202,0)),"")</f>
        <v/>
      </c>
      <c r="H30" s="43">
        <f>IFERROR(INDEX('Employee Database'!$I$3:$I$202,MATCH(E30,'Employee Database'!$A$3:$A$202,0)),"")</f>
        <v/>
      </c>
      <c r="I30" s="44">
        <f>IFERROR(IF(H30="Monthly",INDEX('Employee Database'!$J$3:$J$202,MATCH(E30,'Employee Database'!$A$3:$A$202,0))/12,IF(H30="Weekly",INDEX('Employee Database'!$J$3:$J$202,MATCH(E30,'Employee Database'!$A$3:$A$202,0))/52,IF(H30="Fortnightly",INDEX('Employee Database'!$J$3:$J$202,MATCH(E30,'Employee Database'!$A$3:$A$202,0))/26,IF(H30="Four-weekly",INDEX('Employee Database'!$J$3:$J$202,MATCH(E30,'Employee Database'!$A$3:$A$202,0))/13,0))))),0)</f>
        <v/>
      </c>
      <c r="J30" s="45" t="n"/>
      <c r="K30" s="45" t="n"/>
      <c r="L30" s="44">
        <f>SUM(I30:K30)</f>
        <v/>
      </c>
      <c r="M30" s="45" t="n"/>
      <c r="N30" s="45" t="n"/>
      <c r="O30" s="44">
        <f>IFERROR(ROUND(L30*INDEX('Employee Database'!$L$3:$L$202,MATCH(E30,'Employee Database'!$A$3:$A$202,0))/100,2),0)</f>
        <v/>
      </c>
      <c r="P30" s="45" t="n"/>
      <c r="Q30" s="44">
        <f>SUM(M30:P30)</f>
        <v/>
      </c>
      <c r="R30" s="44">
        <f>L30-Q30</f>
        <v/>
      </c>
      <c r="S30" s="45" t="n"/>
      <c r="T30" s="44">
        <f>IFERROR(ROUND(L30*INDEX('Employee Database'!$M$3:$M$202,MATCH(E30,'Employee Database'!$A$3:$A$202,0))/100,2),0)</f>
        <v/>
      </c>
      <c r="U30" s="44">
        <f>SUM(L30,S30,T30)</f>
        <v/>
      </c>
      <c r="V30" s="46">
        <f>IF(E30="","",IF(OR(B30="",C30="",D30=""),"Missing period/date",IF(L30&lt;0,"Check gross pay",IF(R30&lt;0,"Deductions exceed gross","Review statutory amounts"))))</f>
        <v/>
      </c>
      <c r="W30" s="42" t="n"/>
      <c r="X30" s="47" t="n"/>
    </row>
    <row r="31">
      <c r="A31" s="42" t="n"/>
      <c r="B31" s="39" t="n"/>
      <c r="C31" s="39" t="n"/>
      <c r="D31" s="39" t="n"/>
      <c r="E31" s="42" t="n"/>
      <c r="F31" s="43">
        <f>IFERROR(INDEX('Employee Database'!$B$3:$B$202,MATCH(E31,'Employee Database'!$A$3:$A$202,0)),"")</f>
        <v/>
      </c>
      <c r="G31" s="43">
        <f>IFERROR(INDEX('Employee Database'!$F$3:$F$202,MATCH(E31,'Employee Database'!$A$3:$A$202,0)),"")</f>
        <v/>
      </c>
      <c r="H31" s="43">
        <f>IFERROR(INDEX('Employee Database'!$I$3:$I$202,MATCH(E31,'Employee Database'!$A$3:$A$202,0)),"")</f>
        <v/>
      </c>
      <c r="I31" s="44">
        <f>IFERROR(IF(H31="Monthly",INDEX('Employee Database'!$J$3:$J$202,MATCH(E31,'Employee Database'!$A$3:$A$202,0))/12,IF(H31="Weekly",INDEX('Employee Database'!$J$3:$J$202,MATCH(E31,'Employee Database'!$A$3:$A$202,0))/52,IF(H31="Fortnightly",INDEX('Employee Database'!$J$3:$J$202,MATCH(E31,'Employee Database'!$A$3:$A$202,0))/26,IF(H31="Four-weekly",INDEX('Employee Database'!$J$3:$J$202,MATCH(E31,'Employee Database'!$A$3:$A$202,0))/13,0))))),0)</f>
        <v/>
      </c>
      <c r="J31" s="45" t="n"/>
      <c r="K31" s="45" t="n"/>
      <c r="L31" s="44">
        <f>SUM(I31:K31)</f>
        <v/>
      </c>
      <c r="M31" s="45" t="n"/>
      <c r="N31" s="45" t="n"/>
      <c r="O31" s="44">
        <f>IFERROR(ROUND(L31*INDEX('Employee Database'!$L$3:$L$202,MATCH(E31,'Employee Database'!$A$3:$A$202,0))/100,2),0)</f>
        <v/>
      </c>
      <c r="P31" s="45" t="n"/>
      <c r="Q31" s="44">
        <f>SUM(M31:P31)</f>
        <v/>
      </c>
      <c r="R31" s="44">
        <f>L31-Q31</f>
        <v/>
      </c>
      <c r="S31" s="45" t="n"/>
      <c r="T31" s="44">
        <f>IFERROR(ROUND(L31*INDEX('Employee Database'!$M$3:$M$202,MATCH(E31,'Employee Database'!$A$3:$A$202,0))/100,2),0)</f>
        <v/>
      </c>
      <c r="U31" s="44">
        <f>SUM(L31,S31,T31)</f>
        <v/>
      </c>
      <c r="V31" s="46">
        <f>IF(E31="","",IF(OR(B31="",C31="",D31=""),"Missing period/date",IF(L31&lt;0,"Check gross pay",IF(R31&lt;0,"Deductions exceed gross","Review statutory amounts"))))</f>
        <v/>
      </c>
      <c r="W31" s="42" t="n"/>
      <c r="X31" s="47" t="n"/>
    </row>
    <row r="32">
      <c r="A32" s="42" t="n"/>
      <c r="B32" s="39" t="n"/>
      <c r="C32" s="39" t="n"/>
      <c r="D32" s="39" t="n"/>
      <c r="E32" s="42" t="n"/>
      <c r="F32" s="43">
        <f>IFERROR(INDEX('Employee Database'!$B$3:$B$202,MATCH(E32,'Employee Database'!$A$3:$A$202,0)),"")</f>
        <v/>
      </c>
      <c r="G32" s="43">
        <f>IFERROR(INDEX('Employee Database'!$F$3:$F$202,MATCH(E32,'Employee Database'!$A$3:$A$202,0)),"")</f>
        <v/>
      </c>
      <c r="H32" s="43">
        <f>IFERROR(INDEX('Employee Database'!$I$3:$I$202,MATCH(E32,'Employee Database'!$A$3:$A$202,0)),"")</f>
        <v/>
      </c>
      <c r="I32" s="44">
        <f>IFERROR(IF(H32="Monthly",INDEX('Employee Database'!$J$3:$J$202,MATCH(E32,'Employee Database'!$A$3:$A$202,0))/12,IF(H32="Weekly",INDEX('Employee Database'!$J$3:$J$202,MATCH(E32,'Employee Database'!$A$3:$A$202,0))/52,IF(H32="Fortnightly",INDEX('Employee Database'!$J$3:$J$202,MATCH(E32,'Employee Database'!$A$3:$A$202,0))/26,IF(H32="Four-weekly",INDEX('Employee Database'!$J$3:$J$202,MATCH(E32,'Employee Database'!$A$3:$A$202,0))/13,0))))),0)</f>
        <v/>
      </c>
      <c r="J32" s="45" t="n"/>
      <c r="K32" s="45" t="n"/>
      <c r="L32" s="44">
        <f>SUM(I32:K32)</f>
        <v/>
      </c>
      <c r="M32" s="45" t="n"/>
      <c r="N32" s="45" t="n"/>
      <c r="O32" s="44">
        <f>IFERROR(ROUND(L32*INDEX('Employee Database'!$L$3:$L$202,MATCH(E32,'Employee Database'!$A$3:$A$202,0))/100,2),0)</f>
        <v/>
      </c>
      <c r="P32" s="45" t="n"/>
      <c r="Q32" s="44">
        <f>SUM(M32:P32)</f>
        <v/>
      </c>
      <c r="R32" s="44">
        <f>L32-Q32</f>
        <v/>
      </c>
      <c r="S32" s="45" t="n"/>
      <c r="T32" s="44">
        <f>IFERROR(ROUND(L32*INDEX('Employee Database'!$M$3:$M$202,MATCH(E32,'Employee Database'!$A$3:$A$202,0))/100,2),0)</f>
        <v/>
      </c>
      <c r="U32" s="44">
        <f>SUM(L32,S32,T32)</f>
        <v/>
      </c>
      <c r="V32" s="46">
        <f>IF(E32="","",IF(OR(B32="",C32="",D32=""),"Missing period/date",IF(L32&lt;0,"Check gross pay",IF(R32&lt;0,"Deductions exceed gross","Review statutory amounts"))))</f>
        <v/>
      </c>
      <c r="W32" s="42" t="n"/>
      <c r="X32" s="47" t="n"/>
    </row>
    <row r="33">
      <c r="A33" s="42" t="n"/>
      <c r="B33" s="39" t="n"/>
      <c r="C33" s="39" t="n"/>
      <c r="D33" s="39" t="n"/>
      <c r="E33" s="42" t="n"/>
      <c r="F33" s="43">
        <f>IFERROR(INDEX('Employee Database'!$B$3:$B$202,MATCH(E33,'Employee Database'!$A$3:$A$202,0)),"")</f>
        <v/>
      </c>
      <c r="G33" s="43">
        <f>IFERROR(INDEX('Employee Database'!$F$3:$F$202,MATCH(E33,'Employee Database'!$A$3:$A$202,0)),"")</f>
        <v/>
      </c>
      <c r="H33" s="43">
        <f>IFERROR(INDEX('Employee Database'!$I$3:$I$202,MATCH(E33,'Employee Database'!$A$3:$A$202,0)),"")</f>
        <v/>
      </c>
      <c r="I33" s="44">
        <f>IFERROR(IF(H33="Monthly",INDEX('Employee Database'!$J$3:$J$202,MATCH(E33,'Employee Database'!$A$3:$A$202,0))/12,IF(H33="Weekly",INDEX('Employee Database'!$J$3:$J$202,MATCH(E33,'Employee Database'!$A$3:$A$202,0))/52,IF(H33="Fortnightly",INDEX('Employee Database'!$J$3:$J$202,MATCH(E33,'Employee Database'!$A$3:$A$202,0))/26,IF(H33="Four-weekly",INDEX('Employee Database'!$J$3:$J$202,MATCH(E33,'Employee Database'!$A$3:$A$202,0))/13,0))))),0)</f>
        <v/>
      </c>
      <c r="J33" s="45" t="n"/>
      <c r="K33" s="45" t="n"/>
      <c r="L33" s="44">
        <f>SUM(I33:K33)</f>
        <v/>
      </c>
      <c r="M33" s="45" t="n"/>
      <c r="N33" s="45" t="n"/>
      <c r="O33" s="44">
        <f>IFERROR(ROUND(L33*INDEX('Employee Database'!$L$3:$L$202,MATCH(E33,'Employee Database'!$A$3:$A$202,0))/100,2),0)</f>
        <v/>
      </c>
      <c r="P33" s="45" t="n"/>
      <c r="Q33" s="44">
        <f>SUM(M33:P33)</f>
        <v/>
      </c>
      <c r="R33" s="44">
        <f>L33-Q33</f>
        <v/>
      </c>
      <c r="S33" s="45" t="n"/>
      <c r="T33" s="44">
        <f>IFERROR(ROUND(L33*INDEX('Employee Database'!$M$3:$M$202,MATCH(E33,'Employee Database'!$A$3:$A$202,0))/100,2),0)</f>
        <v/>
      </c>
      <c r="U33" s="44">
        <f>SUM(L33,S33,T33)</f>
        <v/>
      </c>
      <c r="V33" s="46">
        <f>IF(E33="","",IF(OR(B33="",C33="",D33=""),"Missing period/date",IF(L33&lt;0,"Check gross pay",IF(R33&lt;0,"Deductions exceed gross","Review statutory amounts"))))</f>
        <v/>
      </c>
      <c r="W33" s="42" t="n"/>
      <c r="X33" s="47" t="n"/>
    </row>
    <row r="34">
      <c r="A34" s="42" t="n"/>
      <c r="B34" s="39" t="n"/>
      <c r="C34" s="39" t="n"/>
      <c r="D34" s="39" t="n"/>
      <c r="E34" s="42" t="n"/>
      <c r="F34" s="43">
        <f>IFERROR(INDEX('Employee Database'!$B$3:$B$202,MATCH(E34,'Employee Database'!$A$3:$A$202,0)),"")</f>
        <v/>
      </c>
      <c r="G34" s="43">
        <f>IFERROR(INDEX('Employee Database'!$F$3:$F$202,MATCH(E34,'Employee Database'!$A$3:$A$202,0)),"")</f>
        <v/>
      </c>
      <c r="H34" s="43">
        <f>IFERROR(INDEX('Employee Database'!$I$3:$I$202,MATCH(E34,'Employee Database'!$A$3:$A$202,0)),"")</f>
        <v/>
      </c>
      <c r="I34" s="44">
        <f>IFERROR(IF(H34="Monthly",INDEX('Employee Database'!$J$3:$J$202,MATCH(E34,'Employee Database'!$A$3:$A$202,0))/12,IF(H34="Weekly",INDEX('Employee Database'!$J$3:$J$202,MATCH(E34,'Employee Database'!$A$3:$A$202,0))/52,IF(H34="Fortnightly",INDEX('Employee Database'!$J$3:$J$202,MATCH(E34,'Employee Database'!$A$3:$A$202,0))/26,IF(H34="Four-weekly",INDEX('Employee Database'!$J$3:$J$202,MATCH(E34,'Employee Database'!$A$3:$A$202,0))/13,0))))),0)</f>
        <v/>
      </c>
      <c r="J34" s="45" t="n"/>
      <c r="K34" s="45" t="n"/>
      <c r="L34" s="44">
        <f>SUM(I34:K34)</f>
        <v/>
      </c>
      <c r="M34" s="45" t="n"/>
      <c r="N34" s="45" t="n"/>
      <c r="O34" s="44">
        <f>IFERROR(ROUND(L34*INDEX('Employee Database'!$L$3:$L$202,MATCH(E34,'Employee Database'!$A$3:$A$202,0))/100,2),0)</f>
        <v/>
      </c>
      <c r="P34" s="45" t="n"/>
      <c r="Q34" s="44">
        <f>SUM(M34:P34)</f>
        <v/>
      </c>
      <c r="R34" s="44">
        <f>L34-Q34</f>
        <v/>
      </c>
      <c r="S34" s="45" t="n"/>
      <c r="T34" s="44">
        <f>IFERROR(ROUND(L34*INDEX('Employee Database'!$M$3:$M$202,MATCH(E34,'Employee Database'!$A$3:$A$202,0))/100,2),0)</f>
        <v/>
      </c>
      <c r="U34" s="44">
        <f>SUM(L34,S34,T34)</f>
        <v/>
      </c>
      <c r="V34" s="46">
        <f>IF(E34="","",IF(OR(B34="",C34="",D34=""),"Missing period/date",IF(L34&lt;0,"Check gross pay",IF(R34&lt;0,"Deductions exceed gross","Review statutory amounts"))))</f>
        <v/>
      </c>
      <c r="W34" s="42" t="n"/>
      <c r="X34" s="47" t="n"/>
    </row>
    <row r="35">
      <c r="A35" s="42" t="n"/>
      <c r="B35" s="39" t="n"/>
      <c r="C35" s="39" t="n"/>
      <c r="D35" s="39" t="n"/>
      <c r="E35" s="42" t="n"/>
      <c r="F35" s="43">
        <f>IFERROR(INDEX('Employee Database'!$B$3:$B$202,MATCH(E35,'Employee Database'!$A$3:$A$202,0)),"")</f>
        <v/>
      </c>
      <c r="G35" s="43">
        <f>IFERROR(INDEX('Employee Database'!$F$3:$F$202,MATCH(E35,'Employee Database'!$A$3:$A$202,0)),"")</f>
        <v/>
      </c>
      <c r="H35" s="43">
        <f>IFERROR(INDEX('Employee Database'!$I$3:$I$202,MATCH(E35,'Employee Database'!$A$3:$A$202,0)),"")</f>
        <v/>
      </c>
      <c r="I35" s="44">
        <f>IFERROR(IF(H35="Monthly",INDEX('Employee Database'!$J$3:$J$202,MATCH(E35,'Employee Database'!$A$3:$A$202,0))/12,IF(H35="Weekly",INDEX('Employee Database'!$J$3:$J$202,MATCH(E35,'Employee Database'!$A$3:$A$202,0))/52,IF(H35="Fortnightly",INDEX('Employee Database'!$J$3:$J$202,MATCH(E35,'Employee Database'!$A$3:$A$202,0))/26,IF(H35="Four-weekly",INDEX('Employee Database'!$J$3:$J$202,MATCH(E35,'Employee Database'!$A$3:$A$202,0))/13,0))))),0)</f>
        <v/>
      </c>
      <c r="J35" s="45" t="n"/>
      <c r="K35" s="45" t="n"/>
      <c r="L35" s="44">
        <f>SUM(I35:K35)</f>
        <v/>
      </c>
      <c r="M35" s="45" t="n"/>
      <c r="N35" s="45" t="n"/>
      <c r="O35" s="44">
        <f>IFERROR(ROUND(L35*INDEX('Employee Database'!$L$3:$L$202,MATCH(E35,'Employee Database'!$A$3:$A$202,0))/100,2),0)</f>
        <v/>
      </c>
      <c r="P35" s="45" t="n"/>
      <c r="Q35" s="44">
        <f>SUM(M35:P35)</f>
        <v/>
      </c>
      <c r="R35" s="44">
        <f>L35-Q35</f>
        <v/>
      </c>
      <c r="S35" s="45" t="n"/>
      <c r="T35" s="44">
        <f>IFERROR(ROUND(L35*INDEX('Employee Database'!$M$3:$M$202,MATCH(E35,'Employee Database'!$A$3:$A$202,0))/100,2),0)</f>
        <v/>
      </c>
      <c r="U35" s="44">
        <f>SUM(L35,S35,T35)</f>
        <v/>
      </c>
      <c r="V35" s="46">
        <f>IF(E35="","",IF(OR(B35="",C35="",D35=""),"Missing period/date",IF(L35&lt;0,"Check gross pay",IF(R35&lt;0,"Deductions exceed gross","Review statutory amounts"))))</f>
        <v/>
      </c>
      <c r="W35" s="42" t="n"/>
      <c r="X35" s="47" t="n"/>
    </row>
    <row r="36">
      <c r="A36" s="42" t="n"/>
      <c r="B36" s="39" t="n"/>
      <c r="C36" s="39" t="n"/>
      <c r="D36" s="39" t="n"/>
      <c r="E36" s="42" t="n"/>
      <c r="F36" s="43">
        <f>IFERROR(INDEX('Employee Database'!$B$3:$B$202,MATCH(E36,'Employee Database'!$A$3:$A$202,0)),"")</f>
        <v/>
      </c>
      <c r="G36" s="43">
        <f>IFERROR(INDEX('Employee Database'!$F$3:$F$202,MATCH(E36,'Employee Database'!$A$3:$A$202,0)),"")</f>
        <v/>
      </c>
      <c r="H36" s="43">
        <f>IFERROR(INDEX('Employee Database'!$I$3:$I$202,MATCH(E36,'Employee Database'!$A$3:$A$202,0)),"")</f>
        <v/>
      </c>
      <c r="I36" s="44">
        <f>IFERROR(IF(H36="Monthly",INDEX('Employee Database'!$J$3:$J$202,MATCH(E36,'Employee Database'!$A$3:$A$202,0))/12,IF(H36="Weekly",INDEX('Employee Database'!$J$3:$J$202,MATCH(E36,'Employee Database'!$A$3:$A$202,0))/52,IF(H36="Fortnightly",INDEX('Employee Database'!$J$3:$J$202,MATCH(E36,'Employee Database'!$A$3:$A$202,0))/26,IF(H36="Four-weekly",INDEX('Employee Database'!$J$3:$J$202,MATCH(E36,'Employee Database'!$A$3:$A$202,0))/13,0))))),0)</f>
        <v/>
      </c>
      <c r="J36" s="45" t="n"/>
      <c r="K36" s="45" t="n"/>
      <c r="L36" s="44">
        <f>SUM(I36:K36)</f>
        <v/>
      </c>
      <c r="M36" s="45" t="n"/>
      <c r="N36" s="45" t="n"/>
      <c r="O36" s="44">
        <f>IFERROR(ROUND(L36*INDEX('Employee Database'!$L$3:$L$202,MATCH(E36,'Employee Database'!$A$3:$A$202,0))/100,2),0)</f>
        <v/>
      </c>
      <c r="P36" s="45" t="n"/>
      <c r="Q36" s="44">
        <f>SUM(M36:P36)</f>
        <v/>
      </c>
      <c r="R36" s="44">
        <f>L36-Q36</f>
        <v/>
      </c>
      <c r="S36" s="45" t="n"/>
      <c r="T36" s="44">
        <f>IFERROR(ROUND(L36*INDEX('Employee Database'!$M$3:$M$202,MATCH(E36,'Employee Database'!$A$3:$A$202,0))/100,2),0)</f>
        <v/>
      </c>
      <c r="U36" s="44">
        <f>SUM(L36,S36,T36)</f>
        <v/>
      </c>
      <c r="V36" s="46">
        <f>IF(E36="","",IF(OR(B36="",C36="",D36=""),"Missing period/date",IF(L36&lt;0,"Check gross pay",IF(R36&lt;0,"Deductions exceed gross","Review statutory amounts"))))</f>
        <v/>
      </c>
      <c r="W36" s="42" t="n"/>
      <c r="X36" s="47" t="n"/>
    </row>
    <row r="37">
      <c r="A37" s="42" t="n"/>
      <c r="B37" s="39" t="n"/>
      <c r="C37" s="39" t="n"/>
      <c r="D37" s="39" t="n"/>
      <c r="E37" s="42" t="n"/>
      <c r="F37" s="43">
        <f>IFERROR(INDEX('Employee Database'!$B$3:$B$202,MATCH(E37,'Employee Database'!$A$3:$A$202,0)),"")</f>
        <v/>
      </c>
      <c r="G37" s="43">
        <f>IFERROR(INDEX('Employee Database'!$F$3:$F$202,MATCH(E37,'Employee Database'!$A$3:$A$202,0)),"")</f>
        <v/>
      </c>
      <c r="H37" s="43">
        <f>IFERROR(INDEX('Employee Database'!$I$3:$I$202,MATCH(E37,'Employee Database'!$A$3:$A$202,0)),"")</f>
        <v/>
      </c>
      <c r="I37" s="44">
        <f>IFERROR(IF(H37="Monthly",INDEX('Employee Database'!$J$3:$J$202,MATCH(E37,'Employee Database'!$A$3:$A$202,0))/12,IF(H37="Weekly",INDEX('Employee Database'!$J$3:$J$202,MATCH(E37,'Employee Database'!$A$3:$A$202,0))/52,IF(H37="Fortnightly",INDEX('Employee Database'!$J$3:$J$202,MATCH(E37,'Employee Database'!$A$3:$A$202,0))/26,IF(H37="Four-weekly",INDEX('Employee Database'!$J$3:$J$202,MATCH(E37,'Employee Database'!$A$3:$A$202,0))/13,0))))),0)</f>
        <v/>
      </c>
      <c r="J37" s="45" t="n"/>
      <c r="K37" s="45" t="n"/>
      <c r="L37" s="44">
        <f>SUM(I37:K37)</f>
        <v/>
      </c>
      <c r="M37" s="45" t="n"/>
      <c r="N37" s="45" t="n"/>
      <c r="O37" s="44">
        <f>IFERROR(ROUND(L37*INDEX('Employee Database'!$L$3:$L$202,MATCH(E37,'Employee Database'!$A$3:$A$202,0))/100,2),0)</f>
        <v/>
      </c>
      <c r="P37" s="45" t="n"/>
      <c r="Q37" s="44">
        <f>SUM(M37:P37)</f>
        <v/>
      </c>
      <c r="R37" s="44">
        <f>L37-Q37</f>
        <v/>
      </c>
      <c r="S37" s="45" t="n"/>
      <c r="T37" s="44">
        <f>IFERROR(ROUND(L37*INDEX('Employee Database'!$M$3:$M$202,MATCH(E37,'Employee Database'!$A$3:$A$202,0))/100,2),0)</f>
        <v/>
      </c>
      <c r="U37" s="44">
        <f>SUM(L37,S37,T37)</f>
        <v/>
      </c>
      <c r="V37" s="46">
        <f>IF(E37="","",IF(OR(B37="",C37="",D37=""),"Missing period/date",IF(L37&lt;0,"Check gross pay",IF(R37&lt;0,"Deductions exceed gross","Review statutory amounts"))))</f>
        <v/>
      </c>
      <c r="W37" s="42" t="n"/>
      <c r="X37" s="47" t="n"/>
    </row>
    <row r="38">
      <c r="A38" s="42" t="n"/>
      <c r="B38" s="39" t="n"/>
      <c r="C38" s="39" t="n"/>
      <c r="D38" s="39" t="n"/>
      <c r="E38" s="42" t="n"/>
      <c r="F38" s="43">
        <f>IFERROR(INDEX('Employee Database'!$B$3:$B$202,MATCH(E38,'Employee Database'!$A$3:$A$202,0)),"")</f>
        <v/>
      </c>
      <c r="G38" s="43">
        <f>IFERROR(INDEX('Employee Database'!$F$3:$F$202,MATCH(E38,'Employee Database'!$A$3:$A$202,0)),"")</f>
        <v/>
      </c>
      <c r="H38" s="43">
        <f>IFERROR(INDEX('Employee Database'!$I$3:$I$202,MATCH(E38,'Employee Database'!$A$3:$A$202,0)),"")</f>
        <v/>
      </c>
      <c r="I38" s="44">
        <f>IFERROR(IF(H38="Monthly",INDEX('Employee Database'!$J$3:$J$202,MATCH(E38,'Employee Database'!$A$3:$A$202,0))/12,IF(H38="Weekly",INDEX('Employee Database'!$J$3:$J$202,MATCH(E38,'Employee Database'!$A$3:$A$202,0))/52,IF(H38="Fortnightly",INDEX('Employee Database'!$J$3:$J$202,MATCH(E38,'Employee Database'!$A$3:$A$202,0))/26,IF(H38="Four-weekly",INDEX('Employee Database'!$J$3:$J$202,MATCH(E38,'Employee Database'!$A$3:$A$202,0))/13,0))))),0)</f>
        <v/>
      </c>
      <c r="J38" s="45" t="n"/>
      <c r="K38" s="45" t="n"/>
      <c r="L38" s="44">
        <f>SUM(I38:K38)</f>
        <v/>
      </c>
      <c r="M38" s="45" t="n"/>
      <c r="N38" s="45" t="n"/>
      <c r="O38" s="44">
        <f>IFERROR(ROUND(L38*INDEX('Employee Database'!$L$3:$L$202,MATCH(E38,'Employee Database'!$A$3:$A$202,0))/100,2),0)</f>
        <v/>
      </c>
      <c r="P38" s="45" t="n"/>
      <c r="Q38" s="44">
        <f>SUM(M38:P38)</f>
        <v/>
      </c>
      <c r="R38" s="44">
        <f>L38-Q38</f>
        <v/>
      </c>
      <c r="S38" s="45" t="n"/>
      <c r="T38" s="44">
        <f>IFERROR(ROUND(L38*INDEX('Employee Database'!$M$3:$M$202,MATCH(E38,'Employee Database'!$A$3:$A$202,0))/100,2),0)</f>
        <v/>
      </c>
      <c r="U38" s="44">
        <f>SUM(L38,S38,T38)</f>
        <v/>
      </c>
      <c r="V38" s="46">
        <f>IF(E38="","",IF(OR(B38="",C38="",D38=""),"Missing period/date",IF(L38&lt;0,"Check gross pay",IF(R38&lt;0,"Deductions exceed gross","Review statutory amounts"))))</f>
        <v/>
      </c>
      <c r="W38" s="42" t="n"/>
      <c r="X38" s="47" t="n"/>
    </row>
    <row r="39">
      <c r="A39" s="42" t="n"/>
      <c r="B39" s="39" t="n"/>
      <c r="C39" s="39" t="n"/>
      <c r="D39" s="39" t="n"/>
      <c r="E39" s="42" t="n"/>
      <c r="F39" s="43">
        <f>IFERROR(INDEX('Employee Database'!$B$3:$B$202,MATCH(E39,'Employee Database'!$A$3:$A$202,0)),"")</f>
        <v/>
      </c>
      <c r="G39" s="43">
        <f>IFERROR(INDEX('Employee Database'!$F$3:$F$202,MATCH(E39,'Employee Database'!$A$3:$A$202,0)),"")</f>
        <v/>
      </c>
      <c r="H39" s="43">
        <f>IFERROR(INDEX('Employee Database'!$I$3:$I$202,MATCH(E39,'Employee Database'!$A$3:$A$202,0)),"")</f>
        <v/>
      </c>
      <c r="I39" s="44">
        <f>IFERROR(IF(H39="Monthly",INDEX('Employee Database'!$J$3:$J$202,MATCH(E39,'Employee Database'!$A$3:$A$202,0))/12,IF(H39="Weekly",INDEX('Employee Database'!$J$3:$J$202,MATCH(E39,'Employee Database'!$A$3:$A$202,0))/52,IF(H39="Fortnightly",INDEX('Employee Database'!$J$3:$J$202,MATCH(E39,'Employee Database'!$A$3:$A$202,0))/26,IF(H39="Four-weekly",INDEX('Employee Database'!$J$3:$J$202,MATCH(E39,'Employee Database'!$A$3:$A$202,0))/13,0))))),0)</f>
        <v/>
      </c>
      <c r="J39" s="45" t="n"/>
      <c r="K39" s="45" t="n"/>
      <c r="L39" s="44">
        <f>SUM(I39:K39)</f>
        <v/>
      </c>
      <c r="M39" s="45" t="n"/>
      <c r="N39" s="45" t="n"/>
      <c r="O39" s="44">
        <f>IFERROR(ROUND(L39*INDEX('Employee Database'!$L$3:$L$202,MATCH(E39,'Employee Database'!$A$3:$A$202,0))/100,2),0)</f>
        <v/>
      </c>
      <c r="P39" s="45" t="n"/>
      <c r="Q39" s="44">
        <f>SUM(M39:P39)</f>
        <v/>
      </c>
      <c r="R39" s="44">
        <f>L39-Q39</f>
        <v/>
      </c>
      <c r="S39" s="45" t="n"/>
      <c r="T39" s="44">
        <f>IFERROR(ROUND(L39*INDEX('Employee Database'!$M$3:$M$202,MATCH(E39,'Employee Database'!$A$3:$A$202,0))/100,2),0)</f>
        <v/>
      </c>
      <c r="U39" s="44">
        <f>SUM(L39,S39,T39)</f>
        <v/>
      </c>
      <c r="V39" s="46">
        <f>IF(E39="","",IF(OR(B39="",C39="",D39=""),"Missing period/date",IF(L39&lt;0,"Check gross pay",IF(R39&lt;0,"Deductions exceed gross","Review statutory amounts"))))</f>
        <v/>
      </c>
      <c r="W39" s="42" t="n"/>
      <c r="X39" s="47" t="n"/>
    </row>
    <row r="40">
      <c r="A40" s="42" t="n"/>
      <c r="B40" s="39" t="n"/>
      <c r="C40" s="39" t="n"/>
      <c r="D40" s="39" t="n"/>
      <c r="E40" s="42" t="n"/>
      <c r="F40" s="43">
        <f>IFERROR(INDEX('Employee Database'!$B$3:$B$202,MATCH(E40,'Employee Database'!$A$3:$A$202,0)),"")</f>
        <v/>
      </c>
      <c r="G40" s="43">
        <f>IFERROR(INDEX('Employee Database'!$F$3:$F$202,MATCH(E40,'Employee Database'!$A$3:$A$202,0)),"")</f>
        <v/>
      </c>
      <c r="H40" s="43">
        <f>IFERROR(INDEX('Employee Database'!$I$3:$I$202,MATCH(E40,'Employee Database'!$A$3:$A$202,0)),"")</f>
        <v/>
      </c>
      <c r="I40" s="44">
        <f>IFERROR(IF(H40="Monthly",INDEX('Employee Database'!$J$3:$J$202,MATCH(E40,'Employee Database'!$A$3:$A$202,0))/12,IF(H40="Weekly",INDEX('Employee Database'!$J$3:$J$202,MATCH(E40,'Employee Database'!$A$3:$A$202,0))/52,IF(H40="Fortnightly",INDEX('Employee Database'!$J$3:$J$202,MATCH(E40,'Employee Database'!$A$3:$A$202,0))/26,IF(H40="Four-weekly",INDEX('Employee Database'!$J$3:$J$202,MATCH(E40,'Employee Database'!$A$3:$A$202,0))/13,0))))),0)</f>
        <v/>
      </c>
      <c r="J40" s="45" t="n"/>
      <c r="K40" s="45" t="n"/>
      <c r="L40" s="44">
        <f>SUM(I40:K40)</f>
        <v/>
      </c>
      <c r="M40" s="45" t="n"/>
      <c r="N40" s="45" t="n"/>
      <c r="O40" s="44">
        <f>IFERROR(ROUND(L40*INDEX('Employee Database'!$L$3:$L$202,MATCH(E40,'Employee Database'!$A$3:$A$202,0))/100,2),0)</f>
        <v/>
      </c>
      <c r="P40" s="45" t="n"/>
      <c r="Q40" s="44">
        <f>SUM(M40:P40)</f>
        <v/>
      </c>
      <c r="R40" s="44">
        <f>L40-Q40</f>
        <v/>
      </c>
      <c r="S40" s="45" t="n"/>
      <c r="T40" s="44">
        <f>IFERROR(ROUND(L40*INDEX('Employee Database'!$M$3:$M$202,MATCH(E40,'Employee Database'!$A$3:$A$202,0))/100,2),0)</f>
        <v/>
      </c>
      <c r="U40" s="44">
        <f>SUM(L40,S40,T40)</f>
        <v/>
      </c>
      <c r="V40" s="46">
        <f>IF(E40="","",IF(OR(B40="",C40="",D40=""),"Missing period/date",IF(L40&lt;0,"Check gross pay",IF(R40&lt;0,"Deductions exceed gross","Review statutory amounts"))))</f>
        <v/>
      </c>
      <c r="W40" s="42" t="n"/>
      <c r="X40" s="47" t="n"/>
    </row>
    <row r="41">
      <c r="A41" s="42" t="n"/>
      <c r="B41" s="39" t="n"/>
      <c r="C41" s="39" t="n"/>
      <c r="D41" s="39" t="n"/>
      <c r="E41" s="42" t="n"/>
      <c r="F41" s="43">
        <f>IFERROR(INDEX('Employee Database'!$B$3:$B$202,MATCH(E41,'Employee Database'!$A$3:$A$202,0)),"")</f>
        <v/>
      </c>
      <c r="G41" s="43">
        <f>IFERROR(INDEX('Employee Database'!$F$3:$F$202,MATCH(E41,'Employee Database'!$A$3:$A$202,0)),"")</f>
        <v/>
      </c>
      <c r="H41" s="43">
        <f>IFERROR(INDEX('Employee Database'!$I$3:$I$202,MATCH(E41,'Employee Database'!$A$3:$A$202,0)),"")</f>
        <v/>
      </c>
      <c r="I41" s="44">
        <f>IFERROR(IF(H41="Monthly",INDEX('Employee Database'!$J$3:$J$202,MATCH(E41,'Employee Database'!$A$3:$A$202,0))/12,IF(H41="Weekly",INDEX('Employee Database'!$J$3:$J$202,MATCH(E41,'Employee Database'!$A$3:$A$202,0))/52,IF(H41="Fortnightly",INDEX('Employee Database'!$J$3:$J$202,MATCH(E41,'Employee Database'!$A$3:$A$202,0))/26,IF(H41="Four-weekly",INDEX('Employee Database'!$J$3:$J$202,MATCH(E41,'Employee Database'!$A$3:$A$202,0))/13,0))))),0)</f>
        <v/>
      </c>
      <c r="J41" s="45" t="n"/>
      <c r="K41" s="45" t="n"/>
      <c r="L41" s="44">
        <f>SUM(I41:K41)</f>
        <v/>
      </c>
      <c r="M41" s="45" t="n"/>
      <c r="N41" s="45" t="n"/>
      <c r="O41" s="44">
        <f>IFERROR(ROUND(L41*INDEX('Employee Database'!$L$3:$L$202,MATCH(E41,'Employee Database'!$A$3:$A$202,0))/100,2),0)</f>
        <v/>
      </c>
      <c r="P41" s="45" t="n"/>
      <c r="Q41" s="44">
        <f>SUM(M41:P41)</f>
        <v/>
      </c>
      <c r="R41" s="44">
        <f>L41-Q41</f>
        <v/>
      </c>
      <c r="S41" s="45" t="n"/>
      <c r="T41" s="44">
        <f>IFERROR(ROUND(L41*INDEX('Employee Database'!$M$3:$M$202,MATCH(E41,'Employee Database'!$A$3:$A$202,0))/100,2),0)</f>
        <v/>
      </c>
      <c r="U41" s="44">
        <f>SUM(L41,S41,T41)</f>
        <v/>
      </c>
      <c r="V41" s="46">
        <f>IF(E41="","",IF(OR(B41="",C41="",D41=""),"Missing period/date",IF(L41&lt;0,"Check gross pay",IF(R41&lt;0,"Deductions exceed gross","Review statutory amounts"))))</f>
        <v/>
      </c>
      <c r="W41" s="42" t="n"/>
      <c r="X41" s="47" t="n"/>
    </row>
    <row r="42">
      <c r="A42" s="42" t="n"/>
      <c r="B42" s="39" t="n"/>
      <c r="C42" s="39" t="n"/>
      <c r="D42" s="39" t="n"/>
      <c r="E42" s="42" t="n"/>
      <c r="F42" s="43">
        <f>IFERROR(INDEX('Employee Database'!$B$3:$B$202,MATCH(E42,'Employee Database'!$A$3:$A$202,0)),"")</f>
        <v/>
      </c>
      <c r="G42" s="43">
        <f>IFERROR(INDEX('Employee Database'!$F$3:$F$202,MATCH(E42,'Employee Database'!$A$3:$A$202,0)),"")</f>
        <v/>
      </c>
      <c r="H42" s="43">
        <f>IFERROR(INDEX('Employee Database'!$I$3:$I$202,MATCH(E42,'Employee Database'!$A$3:$A$202,0)),"")</f>
        <v/>
      </c>
      <c r="I42" s="44">
        <f>IFERROR(IF(H42="Monthly",INDEX('Employee Database'!$J$3:$J$202,MATCH(E42,'Employee Database'!$A$3:$A$202,0))/12,IF(H42="Weekly",INDEX('Employee Database'!$J$3:$J$202,MATCH(E42,'Employee Database'!$A$3:$A$202,0))/52,IF(H42="Fortnightly",INDEX('Employee Database'!$J$3:$J$202,MATCH(E42,'Employee Database'!$A$3:$A$202,0))/26,IF(H42="Four-weekly",INDEX('Employee Database'!$J$3:$J$202,MATCH(E42,'Employee Database'!$A$3:$A$202,0))/13,0))))),0)</f>
        <v/>
      </c>
      <c r="J42" s="45" t="n"/>
      <c r="K42" s="45" t="n"/>
      <c r="L42" s="44">
        <f>SUM(I42:K42)</f>
        <v/>
      </c>
      <c r="M42" s="45" t="n"/>
      <c r="N42" s="45" t="n"/>
      <c r="O42" s="44">
        <f>IFERROR(ROUND(L42*INDEX('Employee Database'!$L$3:$L$202,MATCH(E42,'Employee Database'!$A$3:$A$202,0))/100,2),0)</f>
        <v/>
      </c>
      <c r="P42" s="45" t="n"/>
      <c r="Q42" s="44">
        <f>SUM(M42:P42)</f>
        <v/>
      </c>
      <c r="R42" s="44">
        <f>L42-Q42</f>
        <v/>
      </c>
      <c r="S42" s="45" t="n"/>
      <c r="T42" s="44">
        <f>IFERROR(ROUND(L42*INDEX('Employee Database'!$M$3:$M$202,MATCH(E42,'Employee Database'!$A$3:$A$202,0))/100,2),0)</f>
        <v/>
      </c>
      <c r="U42" s="44">
        <f>SUM(L42,S42,T42)</f>
        <v/>
      </c>
      <c r="V42" s="46">
        <f>IF(E42="","",IF(OR(B42="",C42="",D42=""),"Missing period/date",IF(L42&lt;0,"Check gross pay",IF(R42&lt;0,"Deductions exceed gross","Review statutory amounts"))))</f>
        <v/>
      </c>
      <c r="W42" s="42" t="n"/>
      <c r="X42" s="47" t="n"/>
    </row>
    <row r="43">
      <c r="A43" s="42" t="n"/>
      <c r="B43" s="39" t="n"/>
      <c r="C43" s="39" t="n"/>
      <c r="D43" s="39" t="n"/>
      <c r="E43" s="42" t="n"/>
      <c r="F43" s="43">
        <f>IFERROR(INDEX('Employee Database'!$B$3:$B$202,MATCH(E43,'Employee Database'!$A$3:$A$202,0)),"")</f>
        <v/>
      </c>
      <c r="G43" s="43">
        <f>IFERROR(INDEX('Employee Database'!$F$3:$F$202,MATCH(E43,'Employee Database'!$A$3:$A$202,0)),"")</f>
        <v/>
      </c>
      <c r="H43" s="43">
        <f>IFERROR(INDEX('Employee Database'!$I$3:$I$202,MATCH(E43,'Employee Database'!$A$3:$A$202,0)),"")</f>
        <v/>
      </c>
      <c r="I43" s="44">
        <f>IFERROR(IF(H43="Monthly",INDEX('Employee Database'!$J$3:$J$202,MATCH(E43,'Employee Database'!$A$3:$A$202,0))/12,IF(H43="Weekly",INDEX('Employee Database'!$J$3:$J$202,MATCH(E43,'Employee Database'!$A$3:$A$202,0))/52,IF(H43="Fortnightly",INDEX('Employee Database'!$J$3:$J$202,MATCH(E43,'Employee Database'!$A$3:$A$202,0))/26,IF(H43="Four-weekly",INDEX('Employee Database'!$J$3:$J$202,MATCH(E43,'Employee Database'!$A$3:$A$202,0))/13,0))))),0)</f>
        <v/>
      </c>
      <c r="J43" s="45" t="n"/>
      <c r="K43" s="45" t="n"/>
      <c r="L43" s="44">
        <f>SUM(I43:K43)</f>
        <v/>
      </c>
      <c r="M43" s="45" t="n"/>
      <c r="N43" s="45" t="n"/>
      <c r="O43" s="44">
        <f>IFERROR(ROUND(L43*INDEX('Employee Database'!$L$3:$L$202,MATCH(E43,'Employee Database'!$A$3:$A$202,0))/100,2),0)</f>
        <v/>
      </c>
      <c r="P43" s="45" t="n"/>
      <c r="Q43" s="44">
        <f>SUM(M43:P43)</f>
        <v/>
      </c>
      <c r="R43" s="44">
        <f>L43-Q43</f>
        <v/>
      </c>
      <c r="S43" s="45" t="n"/>
      <c r="T43" s="44">
        <f>IFERROR(ROUND(L43*INDEX('Employee Database'!$M$3:$M$202,MATCH(E43,'Employee Database'!$A$3:$A$202,0))/100,2),0)</f>
        <v/>
      </c>
      <c r="U43" s="44">
        <f>SUM(L43,S43,T43)</f>
        <v/>
      </c>
      <c r="V43" s="46">
        <f>IF(E43="","",IF(OR(B43="",C43="",D43=""),"Missing period/date",IF(L43&lt;0,"Check gross pay",IF(R43&lt;0,"Deductions exceed gross","Review statutory amounts"))))</f>
        <v/>
      </c>
      <c r="W43" s="42" t="n"/>
      <c r="X43" s="47" t="n"/>
    </row>
    <row r="44">
      <c r="A44" s="42" t="n"/>
      <c r="B44" s="39" t="n"/>
      <c r="C44" s="39" t="n"/>
      <c r="D44" s="39" t="n"/>
      <c r="E44" s="42" t="n"/>
      <c r="F44" s="43">
        <f>IFERROR(INDEX('Employee Database'!$B$3:$B$202,MATCH(E44,'Employee Database'!$A$3:$A$202,0)),"")</f>
        <v/>
      </c>
      <c r="G44" s="43">
        <f>IFERROR(INDEX('Employee Database'!$F$3:$F$202,MATCH(E44,'Employee Database'!$A$3:$A$202,0)),"")</f>
        <v/>
      </c>
      <c r="H44" s="43">
        <f>IFERROR(INDEX('Employee Database'!$I$3:$I$202,MATCH(E44,'Employee Database'!$A$3:$A$202,0)),"")</f>
        <v/>
      </c>
      <c r="I44" s="44">
        <f>IFERROR(IF(H44="Monthly",INDEX('Employee Database'!$J$3:$J$202,MATCH(E44,'Employee Database'!$A$3:$A$202,0))/12,IF(H44="Weekly",INDEX('Employee Database'!$J$3:$J$202,MATCH(E44,'Employee Database'!$A$3:$A$202,0))/52,IF(H44="Fortnightly",INDEX('Employee Database'!$J$3:$J$202,MATCH(E44,'Employee Database'!$A$3:$A$202,0))/26,IF(H44="Four-weekly",INDEX('Employee Database'!$J$3:$J$202,MATCH(E44,'Employee Database'!$A$3:$A$202,0))/13,0))))),0)</f>
        <v/>
      </c>
      <c r="J44" s="45" t="n"/>
      <c r="K44" s="45" t="n"/>
      <c r="L44" s="44">
        <f>SUM(I44:K44)</f>
        <v/>
      </c>
      <c r="M44" s="45" t="n"/>
      <c r="N44" s="45" t="n"/>
      <c r="O44" s="44">
        <f>IFERROR(ROUND(L44*INDEX('Employee Database'!$L$3:$L$202,MATCH(E44,'Employee Database'!$A$3:$A$202,0))/100,2),0)</f>
        <v/>
      </c>
      <c r="P44" s="45" t="n"/>
      <c r="Q44" s="44">
        <f>SUM(M44:P44)</f>
        <v/>
      </c>
      <c r="R44" s="44">
        <f>L44-Q44</f>
        <v/>
      </c>
      <c r="S44" s="45" t="n"/>
      <c r="T44" s="44">
        <f>IFERROR(ROUND(L44*INDEX('Employee Database'!$M$3:$M$202,MATCH(E44,'Employee Database'!$A$3:$A$202,0))/100,2),0)</f>
        <v/>
      </c>
      <c r="U44" s="44">
        <f>SUM(L44,S44,T44)</f>
        <v/>
      </c>
      <c r="V44" s="46">
        <f>IF(E44="","",IF(OR(B44="",C44="",D44=""),"Missing period/date",IF(L44&lt;0,"Check gross pay",IF(R44&lt;0,"Deductions exceed gross","Review statutory amounts"))))</f>
        <v/>
      </c>
      <c r="W44" s="42" t="n"/>
      <c r="X44" s="47" t="n"/>
    </row>
    <row r="45">
      <c r="A45" s="42" t="n"/>
      <c r="B45" s="39" t="n"/>
      <c r="C45" s="39" t="n"/>
      <c r="D45" s="39" t="n"/>
      <c r="E45" s="42" t="n"/>
      <c r="F45" s="43">
        <f>IFERROR(INDEX('Employee Database'!$B$3:$B$202,MATCH(E45,'Employee Database'!$A$3:$A$202,0)),"")</f>
        <v/>
      </c>
      <c r="G45" s="43">
        <f>IFERROR(INDEX('Employee Database'!$F$3:$F$202,MATCH(E45,'Employee Database'!$A$3:$A$202,0)),"")</f>
        <v/>
      </c>
      <c r="H45" s="43">
        <f>IFERROR(INDEX('Employee Database'!$I$3:$I$202,MATCH(E45,'Employee Database'!$A$3:$A$202,0)),"")</f>
        <v/>
      </c>
      <c r="I45" s="44">
        <f>IFERROR(IF(H45="Monthly",INDEX('Employee Database'!$J$3:$J$202,MATCH(E45,'Employee Database'!$A$3:$A$202,0))/12,IF(H45="Weekly",INDEX('Employee Database'!$J$3:$J$202,MATCH(E45,'Employee Database'!$A$3:$A$202,0))/52,IF(H45="Fortnightly",INDEX('Employee Database'!$J$3:$J$202,MATCH(E45,'Employee Database'!$A$3:$A$202,0))/26,IF(H45="Four-weekly",INDEX('Employee Database'!$J$3:$J$202,MATCH(E45,'Employee Database'!$A$3:$A$202,0))/13,0))))),0)</f>
        <v/>
      </c>
      <c r="J45" s="45" t="n"/>
      <c r="K45" s="45" t="n"/>
      <c r="L45" s="44">
        <f>SUM(I45:K45)</f>
        <v/>
      </c>
      <c r="M45" s="45" t="n"/>
      <c r="N45" s="45" t="n"/>
      <c r="O45" s="44">
        <f>IFERROR(ROUND(L45*INDEX('Employee Database'!$L$3:$L$202,MATCH(E45,'Employee Database'!$A$3:$A$202,0))/100,2),0)</f>
        <v/>
      </c>
      <c r="P45" s="45" t="n"/>
      <c r="Q45" s="44">
        <f>SUM(M45:P45)</f>
        <v/>
      </c>
      <c r="R45" s="44">
        <f>L45-Q45</f>
        <v/>
      </c>
      <c r="S45" s="45" t="n"/>
      <c r="T45" s="44">
        <f>IFERROR(ROUND(L45*INDEX('Employee Database'!$M$3:$M$202,MATCH(E45,'Employee Database'!$A$3:$A$202,0))/100,2),0)</f>
        <v/>
      </c>
      <c r="U45" s="44">
        <f>SUM(L45,S45,T45)</f>
        <v/>
      </c>
      <c r="V45" s="46">
        <f>IF(E45="","",IF(OR(B45="",C45="",D45=""),"Missing period/date",IF(L45&lt;0,"Check gross pay",IF(R45&lt;0,"Deductions exceed gross","Review statutory amounts"))))</f>
        <v/>
      </c>
      <c r="W45" s="42" t="n"/>
      <c r="X45" s="47" t="n"/>
    </row>
    <row r="46">
      <c r="A46" s="42" t="n"/>
      <c r="B46" s="39" t="n"/>
      <c r="C46" s="39" t="n"/>
      <c r="D46" s="39" t="n"/>
      <c r="E46" s="42" t="n"/>
      <c r="F46" s="43">
        <f>IFERROR(INDEX('Employee Database'!$B$3:$B$202,MATCH(E46,'Employee Database'!$A$3:$A$202,0)),"")</f>
        <v/>
      </c>
      <c r="G46" s="43">
        <f>IFERROR(INDEX('Employee Database'!$F$3:$F$202,MATCH(E46,'Employee Database'!$A$3:$A$202,0)),"")</f>
        <v/>
      </c>
      <c r="H46" s="43">
        <f>IFERROR(INDEX('Employee Database'!$I$3:$I$202,MATCH(E46,'Employee Database'!$A$3:$A$202,0)),"")</f>
        <v/>
      </c>
      <c r="I46" s="44">
        <f>IFERROR(IF(H46="Monthly",INDEX('Employee Database'!$J$3:$J$202,MATCH(E46,'Employee Database'!$A$3:$A$202,0))/12,IF(H46="Weekly",INDEX('Employee Database'!$J$3:$J$202,MATCH(E46,'Employee Database'!$A$3:$A$202,0))/52,IF(H46="Fortnightly",INDEX('Employee Database'!$J$3:$J$202,MATCH(E46,'Employee Database'!$A$3:$A$202,0))/26,IF(H46="Four-weekly",INDEX('Employee Database'!$J$3:$J$202,MATCH(E46,'Employee Database'!$A$3:$A$202,0))/13,0))))),0)</f>
        <v/>
      </c>
      <c r="J46" s="45" t="n"/>
      <c r="K46" s="45" t="n"/>
      <c r="L46" s="44">
        <f>SUM(I46:K46)</f>
        <v/>
      </c>
      <c r="M46" s="45" t="n"/>
      <c r="N46" s="45" t="n"/>
      <c r="O46" s="44">
        <f>IFERROR(ROUND(L46*INDEX('Employee Database'!$L$3:$L$202,MATCH(E46,'Employee Database'!$A$3:$A$202,0))/100,2),0)</f>
        <v/>
      </c>
      <c r="P46" s="45" t="n"/>
      <c r="Q46" s="44">
        <f>SUM(M46:P46)</f>
        <v/>
      </c>
      <c r="R46" s="44">
        <f>L46-Q46</f>
        <v/>
      </c>
      <c r="S46" s="45" t="n"/>
      <c r="T46" s="44">
        <f>IFERROR(ROUND(L46*INDEX('Employee Database'!$M$3:$M$202,MATCH(E46,'Employee Database'!$A$3:$A$202,0))/100,2),0)</f>
        <v/>
      </c>
      <c r="U46" s="44">
        <f>SUM(L46,S46,T46)</f>
        <v/>
      </c>
      <c r="V46" s="46">
        <f>IF(E46="","",IF(OR(B46="",C46="",D46=""),"Missing period/date",IF(L46&lt;0,"Check gross pay",IF(R46&lt;0,"Deductions exceed gross","Review statutory amounts"))))</f>
        <v/>
      </c>
      <c r="W46" s="42" t="n"/>
      <c r="X46" s="47" t="n"/>
    </row>
    <row r="47">
      <c r="A47" s="42" t="n"/>
      <c r="B47" s="39" t="n"/>
      <c r="C47" s="39" t="n"/>
      <c r="D47" s="39" t="n"/>
      <c r="E47" s="42" t="n"/>
      <c r="F47" s="43">
        <f>IFERROR(INDEX('Employee Database'!$B$3:$B$202,MATCH(E47,'Employee Database'!$A$3:$A$202,0)),"")</f>
        <v/>
      </c>
      <c r="G47" s="43">
        <f>IFERROR(INDEX('Employee Database'!$F$3:$F$202,MATCH(E47,'Employee Database'!$A$3:$A$202,0)),"")</f>
        <v/>
      </c>
      <c r="H47" s="43">
        <f>IFERROR(INDEX('Employee Database'!$I$3:$I$202,MATCH(E47,'Employee Database'!$A$3:$A$202,0)),"")</f>
        <v/>
      </c>
      <c r="I47" s="44">
        <f>IFERROR(IF(H47="Monthly",INDEX('Employee Database'!$J$3:$J$202,MATCH(E47,'Employee Database'!$A$3:$A$202,0))/12,IF(H47="Weekly",INDEX('Employee Database'!$J$3:$J$202,MATCH(E47,'Employee Database'!$A$3:$A$202,0))/52,IF(H47="Fortnightly",INDEX('Employee Database'!$J$3:$J$202,MATCH(E47,'Employee Database'!$A$3:$A$202,0))/26,IF(H47="Four-weekly",INDEX('Employee Database'!$J$3:$J$202,MATCH(E47,'Employee Database'!$A$3:$A$202,0))/13,0))))),0)</f>
        <v/>
      </c>
      <c r="J47" s="45" t="n"/>
      <c r="K47" s="45" t="n"/>
      <c r="L47" s="44">
        <f>SUM(I47:K47)</f>
        <v/>
      </c>
      <c r="M47" s="45" t="n"/>
      <c r="N47" s="45" t="n"/>
      <c r="O47" s="44">
        <f>IFERROR(ROUND(L47*INDEX('Employee Database'!$L$3:$L$202,MATCH(E47,'Employee Database'!$A$3:$A$202,0))/100,2),0)</f>
        <v/>
      </c>
      <c r="P47" s="45" t="n"/>
      <c r="Q47" s="44">
        <f>SUM(M47:P47)</f>
        <v/>
      </c>
      <c r="R47" s="44">
        <f>L47-Q47</f>
        <v/>
      </c>
      <c r="S47" s="45" t="n"/>
      <c r="T47" s="44">
        <f>IFERROR(ROUND(L47*INDEX('Employee Database'!$M$3:$M$202,MATCH(E47,'Employee Database'!$A$3:$A$202,0))/100,2),0)</f>
        <v/>
      </c>
      <c r="U47" s="44">
        <f>SUM(L47,S47,T47)</f>
        <v/>
      </c>
      <c r="V47" s="46">
        <f>IF(E47="","",IF(OR(B47="",C47="",D47=""),"Missing period/date",IF(L47&lt;0,"Check gross pay",IF(R47&lt;0,"Deductions exceed gross","Review statutory amounts"))))</f>
        <v/>
      </c>
      <c r="W47" s="42" t="n"/>
      <c r="X47" s="47" t="n"/>
    </row>
    <row r="48">
      <c r="A48" s="42" t="n"/>
      <c r="B48" s="39" t="n"/>
      <c r="C48" s="39" t="n"/>
      <c r="D48" s="39" t="n"/>
      <c r="E48" s="42" t="n"/>
      <c r="F48" s="43">
        <f>IFERROR(INDEX('Employee Database'!$B$3:$B$202,MATCH(E48,'Employee Database'!$A$3:$A$202,0)),"")</f>
        <v/>
      </c>
      <c r="G48" s="43">
        <f>IFERROR(INDEX('Employee Database'!$F$3:$F$202,MATCH(E48,'Employee Database'!$A$3:$A$202,0)),"")</f>
        <v/>
      </c>
      <c r="H48" s="43">
        <f>IFERROR(INDEX('Employee Database'!$I$3:$I$202,MATCH(E48,'Employee Database'!$A$3:$A$202,0)),"")</f>
        <v/>
      </c>
      <c r="I48" s="44">
        <f>IFERROR(IF(H48="Monthly",INDEX('Employee Database'!$J$3:$J$202,MATCH(E48,'Employee Database'!$A$3:$A$202,0))/12,IF(H48="Weekly",INDEX('Employee Database'!$J$3:$J$202,MATCH(E48,'Employee Database'!$A$3:$A$202,0))/52,IF(H48="Fortnightly",INDEX('Employee Database'!$J$3:$J$202,MATCH(E48,'Employee Database'!$A$3:$A$202,0))/26,IF(H48="Four-weekly",INDEX('Employee Database'!$J$3:$J$202,MATCH(E48,'Employee Database'!$A$3:$A$202,0))/13,0))))),0)</f>
        <v/>
      </c>
      <c r="J48" s="45" t="n"/>
      <c r="K48" s="45" t="n"/>
      <c r="L48" s="44">
        <f>SUM(I48:K48)</f>
        <v/>
      </c>
      <c r="M48" s="45" t="n"/>
      <c r="N48" s="45" t="n"/>
      <c r="O48" s="44">
        <f>IFERROR(ROUND(L48*INDEX('Employee Database'!$L$3:$L$202,MATCH(E48,'Employee Database'!$A$3:$A$202,0))/100,2),0)</f>
        <v/>
      </c>
      <c r="P48" s="45" t="n"/>
      <c r="Q48" s="44">
        <f>SUM(M48:P48)</f>
        <v/>
      </c>
      <c r="R48" s="44">
        <f>L48-Q48</f>
        <v/>
      </c>
      <c r="S48" s="45" t="n"/>
      <c r="T48" s="44">
        <f>IFERROR(ROUND(L48*INDEX('Employee Database'!$M$3:$M$202,MATCH(E48,'Employee Database'!$A$3:$A$202,0))/100,2),0)</f>
        <v/>
      </c>
      <c r="U48" s="44">
        <f>SUM(L48,S48,T48)</f>
        <v/>
      </c>
      <c r="V48" s="46">
        <f>IF(E48="","",IF(OR(B48="",C48="",D48=""),"Missing period/date",IF(L48&lt;0,"Check gross pay",IF(R48&lt;0,"Deductions exceed gross","Review statutory amounts"))))</f>
        <v/>
      </c>
      <c r="W48" s="42" t="n"/>
      <c r="X48" s="47" t="n"/>
    </row>
    <row r="49">
      <c r="A49" s="42" t="n"/>
      <c r="B49" s="39" t="n"/>
      <c r="C49" s="39" t="n"/>
      <c r="D49" s="39" t="n"/>
      <c r="E49" s="42" t="n"/>
      <c r="F49" s="43">
        <f>IFERROR(INDEX('Employee Database'!$B$3:$B$202,MATCH(E49,'Employee Database'!$A$3:$A$202,0)),"")</f>
        <v/>
      </c>
      <c r="G49" s="43">
        <f>IFERROR(INDEX('Employee Database'!$F$3:$F$202,MATCH(E49,'Employee Database'!$A$3:$A$202,0)),"")</f>
        <v/>
      </c>
      <c r="H49" s="43">
        <f>IFERROR(INDEX('Employee Database'!$I$3:$I$202,MATCH(E49,'Employee Database'!$A$3:$A$202,0)),"")</f>
        <v/>
      </c>
      <c r="I49" s="44">
        <f>IFERROR(IF(H49="Monthly",INDEX('Employee Database'!$J$3:$J$202,MATCH(E49,'Employee Database'!$A$3:$A$202,0))/12,IF(H49="Weekly",INDEX('Employee Database'!$J$3:$J$202,MATCH(E49,'Employee Database'!$A$3:$A$202,0))/52,IF(H49="Fortnightly",INDEX('Employee Database'!$J$3:$J$202,MATCH(E49,'Employee Database'!$A$3:$A$202,0))/26,IF(H49="Four-weekly",INDEX('Employee Database'!$J$3:$J$202,MATCH(E49,'Employee Database'!$A$3:$A$202,0))/13,0))))),0)</f>
        <v/>
      </c>
      <c r="J49" s="45" t="n"/>
      <c r="K49" s="45" t="n"/>
      <c r="L49" s="44">
        <f>SUM(I49:K49)</f>
        <v/>
      </c>
      <c r="M49" s="45" t="n"/>
      <c r="N49" s="45" t="n"/>
      <c r="O49" s="44">
        <f>IFERROR(ROUND(L49*INDEX('Employee Database'!$L$3:$L$202,MATCH(E49,'Employee Database'!$A$3:$A$202,0))/100,2),0)</f>
        <v/>
      </c>
      <c r="P49" s="45" t="n"/>
      <c r="Q49" s="44">
        <f>SUM(M49:P49)</f>
        <v/>
      </c>
      <c r="R49" s="44">
        <f>L49-Q49</f>
        <v/>
      </c>
      <c r="S49" s="45" t="n"/>
      <c r="T49" s="44">
        <f>IFERROR(ROUND(L49*INDEX('Employee Database'!$M$3:$M$202,MATCH(E49,'Employee Database'!$A$3:$A$202,0))/100,2),0)</f>
        <v/>
      </c>
      <c r="U49" s="44">
        <f>SUM(L49,S49,T49)</f>
        <v/>
      </c>
      <c r="V49" s="46">
        <f>IF(E49="","",IF(OR(B49="",C49="",D49=""),"Missing period/date",IF(L49&lt;0,"Check gross pay",IF(R49&lt;0,"Deductions exceed gross","Review statutory amounts"))))</f>
        <v/>
      </c>
      <c r="W49" s="42" t="n"/>
      <c r="X49" s="47" t="n"/>
    </row>
    <row r="50">
      <c r="A50" s="42" t="n"/>
      <c r="B50" s="39" t="n"/>
      <c r="C50" s="39" t="n"/>
      <c r="D50" s="39" t="n"/>
      <c r="E50" s="42" t="n"/>
      <c r="F50" s="43">
        <f>IFERROR(INDEX('Employee Database'!$B$3:$B$202,MATCH(E50,'Employee Database'!$A$3:$A$202,0)),"")</f>
        <v/>
      </c>
      <c r="G50" s="43">
        <f>IFERROR(INDEX('Employee Database'!$F$3:$F$202,MATCH(E50,'Employee Database'!$A$3:$A$202,0)),"")</f>
        <v/>
      </c>
      <c r="H50" s="43">
        <f>IFERROR(INDEX('Employee Database'!$I$3:$I$202,MATCH(E50,'Employee Database'!$A$3:$A$202,0)),"")</f>
        <v/>
      </c>
      <c r="I50" s="44">
        <f>IFERROR(IF(H50="Monthly",INDEX('Employee Database'!$J$3:$J$202,MATCH(E50,'Employee Database'!$A$3:$A$202,0))/12,IF(H50="Weekly",INDEX('Employee Database'!$J$3:$J$202,MATCH(E50,'Employee Database'!$A$3:$A$202,0))/52,IF(H50="Fortnightly",INDEX('Employee Database'!$J$3:$J$202,MATCH(E50,'Employee Database'!$A$3:$A$202,0))/26,IF(H50="Four-weekly",INDEX('Employee Database'!$J$3:$J$202,MATCH(E50,'Employee Database'!$A$3:$A$202,0))/13,0))))),0)</f>
        <v/>
      </c>
      <c r="J50" s="45" t="n"/>
      <c r="K50" s="45" t="n"/>
      <c r="L50" s="44">
        <f>SUM(I50:K50)</f>
        <v/>
      </c>
      <c r="M50" s="45" t="n"/>
      <c r="N50" s="45" t="n"/>
      <c r="O50" s="44">
        <f>IFERROR(ROUND(L50*INDEX('Employee Database'!$L$3:$L$202,MATCH(E50,'Employee Database'!$A$3:$A$202,0))/100,2),0)</f>
        <v/>
      </c>
      <c r="P50" s="45" t="n"/>
      <c r="Q50" s="44">
        <f>SUM(M50:P50)</f>
        <v/>
      </c>
      <c r="R50" s="44">
        <f>L50-Q50</f>
        <v/>
      </c>
      <c r="S50" s="45" t="n"/>
      <c r="T50" s="44">
        <f>IFERROR(ROUND(L50*INDEX('Employee Database'!$M$3:$M$202,MATCH(E50,'Employee Database'!$A$3:$A$202,0))/100,2),0)</f>
        <v/>
      </c>
      <c r="U50" s="44">
        <f>SUM(L50,S50,T50)</f>
        <v/>
      </c>
      <c r="V50" s="46">
        <f>IF(E50="","",IF(OR(B50="",C50="",D50=""),"Missing period/date",IF(L50&lt;0,"Check gross pay",IF(R50&lt;0,"Deductions exceed gross","Review statutory amounts"))))</f>
        <v/>
      </c>
      <c r="W50" s="42" t="n"/>
      <c r="X50" s="47" t="n"/>
    </row>
    <row r="51">
      <c r="A51" s="42" t="n"/>
      <c r="B51" s="39" t="n"/>
      <c r="C51" s="39" t="n"/>
      <c r="D51" s="39" t="n"/>
      <c r="E51" s="42" t="n"/>
      <c r="F51" s="43">
        <f>IFERROR(INDEX('Employee Database'!$B$3:$B$202,MATCH(E51,'Employee Database'!$A$3:$A$202,0)),"")</f>
        <v/>
      </c>
      <c r="G51" s="43">
        <f>IFERROR(INDEX('Employee Database'!$F$3:$F$202,MATCH(E51,'Employee Database'!$A$3:$A$202,0)),"")</f>
        <v/>
      </c>
      <c r="H51" s="43">
        <f>IFERROR(INDEX('Employee Database'!$I$3:$I$202,MATCH(E51,'Employee Database'!$A$3:$A$202,0)),"")</f>
        <v/>
      </c>
      <c r="I51" s="44">
        <f>IFERROR(IF(H51="Monthly",INDEX('Employee Database'!$J$3:$J$202,MATCH(E51,'Employee Database'!$A$3:$A$202,0))/12,IF(H51="Weekly",INDEX('Employee Database'!$J$3:$J$202,MATCH(E51,'Employee Database'!$A$3:$A$202,0))/52,IF(H51="Fortnightly",INDEX('Employee Database'!$J$3:$J$202,MATCH(E51,'Employee Database'!$A$3:$A$202,0))/26,IF(H51="Four-weekly",INDEX('Employee Database'!$J$3:$J$202,MATCH(E51,'Employee Database'!$A$3:$A$202,0))/13,0))))),0)</f>
        <v/>
      </c>
      <c r="J51" s="45" t="n"/>
      <c r="K51" s="45" t="n"/>
      <c r="L51" s="44">
        <f>SUM(I51:K51)</f>
        <v/>
      </c>
      <c r="M51" s="45" t="n"/>
      <c r="N51" s="45" t="n"/>
      <c r="O51" s="44">
        <f>IFERROR(ROUND(L51*INDEX('Employee Database'!$L$3:$L$202,MATCH(E51,'Employee Database'!$A$3:$A$202,0))/100,2),0)</f>
        <v/>
      </c>
      <c r="P51" s="45" t="n"/>
      <c r="Q51" s="44">
        <f>SUM(M51:P51)</f>
        <v/>
      </c>
      <c r="R51" s="44">
        <f>L51-Q51</f>
        <v/>
      </c>
      <c r="S51" s="45" t="n"/>
      <c r="T51" s="44">
        <f>IFERROR(ROUND(L51*INDEX('Employee Database'!$M$3:$M$202,MATCH(E51,'Employee Database'!$A$3:$A$202,0))/100,2),0)</f>
        <v/>
      </c>
      <c r="U51" s="44">
        <f>SUM(L51,S51,T51)</f>
        <v/>
      </c>
      <c r="V51" s="46">
        <f>IF(E51="","",IF(OR(B51="",C51="",D51=""),"Missing period/date",IF(L51&lt;0,"Check gross pay",IF(R51&lt;0,"Deductions exceed gross","Review statutory amounts"))))</f>
        <v/>
      </c>
      <c r="W51" s="42" t="n"/>
      <c r="X51" s="47" t="n"/>
    </row>
    <row r="52">
      <c r="A52" s="42" t="n"/>
      <c r="B52" s="39" t="n"/>
      <c r="C52" s="39" t="n"/>
      <c r="D52" s="39" t="n"/>
      <c r="E52" s="42" t="n"/>
      <c r="F52" s="43">
        <f>IFERROR(INDEX('Employee Database'!$B$3:$B$202,MATCH(E52,'Employee Database'!$A$3:$A$202,0)),"")</f>
        <v/>
      </c>
      <c r="G52" s="43">
        <f>IFERROR(INDEX('Employee Database'!$F$3:$F$202,MATCH(E52,'Employee Database'!$A$3:$A$202,0)),"")</f>
        <v/>
      </c>
      <c r="H52" s="43">
        <f>IFERROR(INDEX('Employee Database'!$I$3:$I$202,MATCH(E52,'Employee Database'!$A$3:$A$202,0)),"")</f>
        <v/>
      </c>
      <c r="I52" s="44">
        <f>IFERROR(IF(H52="Monthly",INDEX('Employee Database'!$J$3:$J$202,MATCH(E52,'Employee Database'!$A$3:$A$202,0))/12,IF(H52="Weekly",INDEX('Employee Database'!$J$3:$J$202,MATCH(E52,'Employee Database'!$A$3:$A$202,0))/52,IF(H52="Fortnightly",INDEX('Employee Database'!$J$3:$J$202,MATCH(E52,'Employee Database'!$A$3:$A$202,0))/26,IF(H52="Four-weekly",INDEX('Employee Database'!$J$3:$J$202,MATCH(E52,'Employee Database'!$A$3:$A$202,0))/13,0))))),0)</f>
        <v/>
      </c>
      <c r="J52" s="45" t="n"/>
      <c r="K52" s="45" t="n"/>
      <c r="L52" s="44">
        <f>SUM(I52:K52)</f>
        <v/>
      </c>
      <c r="M52" s="45" t="n"/>
      <c r="N52" s="45" t="n"/>
      <c r="O52" s="44">
        <f>IFERROR(ROUND(L52*INDEX('Employee Database'!$L$3:$L$202,MATCH(E52,'Employee Database'!$A$3:$A$202,0))/100,2),0)</f>
        <v/>
      </c>
      <c r="P52" s="45" t="n"/>
      <c r="Q52" s="44">
        <f>SUM(M52:P52)</f>
        <v/>
      </c>
      <c r="R52" s="44">
        <f>L52-Q52</f>
        <v/>
      </c>
      <c r="S52" s="45" t="n"/>
      <c r="T52" s="44">
        <f>IFERROR(ROUND(L52*INDEX('Employee Database'!$M$3:$M$202,MATCH(E52,'Employee Database'!$A$3:$A$202,0))/100,2),0)</f>
        <v/>
      </c>
      <c r="U52" s="44">
        <f>SUM(L52,S52,T52)</f>
        <v/>
      </c>
      <c r="V52" s="46">
        <f>IF(E52="","",IF(OR(B52="",C52="",D52=""),"Missing period/date",IF(L52&lt;0,"Check gross pay",IF(R52&lt;0,"Deductions exceed gross","Review statutory amounts"))))</f>
        <v/>
      </c>
      <c r="W52" s="42" t="n"/>
      <c r="X52" s="47" t="n"/>
    </row>
    <row r="53">
      <c r="A53" s="42" t="n"/>
      <c r="B53" s="39" t="n"/>
      <c r="C53" s="39" t="n"/>
      <c r="D53" s="39" t="n"/>
      <c r="E53" s="42" t="n"/>
      <c r="F53" s="43">
        <f>IFERROR(INDEX('Employee Database'!$B$3:$B$202,MATCH(E53,'Employee Database'!$A$3:$A$202,0)),"")</f>
        <v/>
      </c>
      <c r="G53" s="43">
        <f>IFERROR(INDEX('Employee Database'!$F$3:$F$202,MATCH(E53,'Employee Database'!$A$3:$A$202,0)),"")</f>
        <v/>
      </c>
      <c r="H53" s="43">
        <f>IFERROR(INDEX('Employee Database'!$I$3:$I$202,MATCH(E53,'Employee Database'!$A$3:$A$202,0)),"")</f>
        <v/>
      </c>
      <c r="I53" s="44">
        <f>IFERROR(IF(H53="Monthly",INDEX('Employee Database'!$J$3:$J$202,MATCH(E53,'Employee Database'!$A$3:$A$202,0))/12,IF(H53="Weekly",INDEX('Employee Database'!$J$3:$J$202,MATCH(E53,'Employee Database'!$A$3:$A$202,0))/52,IF(H53="Fortnightly",INDEX('Employee Database'!$J$3:$J$202,MATCH(E53,'Employee Database'!$A$3:$A$202,0))/26,IF(H53="Four-weekly",INDEX('Employee Database'!$J$3:$J$202,MATCH(E53,'Employee Database'!$A$3:$A$202,0))/13,0))))),0)</f>
        <v/>
      </c>
      <c r="J53" s="45" t="n"/>
      <c r="K53" s="45" t="n"/>
      <c r="L53" s="44">
        <f>SUM(I53:K53)</f>
        <v/>
      </c>
      <c r="M53" s="45" t="n"/>
      <c r="N53" s="45" t="n"/>
      <c r="O53" s="44">
        <f>IFERROR(ROUND(L53*INDEX('Employee Database'!$L$3:$L$202,MATCH(E53,'Employee Database'!$A$3:$A$202,0))/100,2),0)</f>
        <v/>
      </c>
      <c r="P53" s="45" t="n"/>
      <c r="Q53" s="44">
        <f>SUM(M53:P53)</f>
        <v/>
      </c>
      <c r="R53" s="44">
        <f>L53-Q53</f>
        <v/>
      </c>
      <c r="S53" s="45" t="n"/>
      <c r="T53" s="44">
        <f>IFERROR(ROUND(L53*INDEX('Employee Database'!$M$3:$M$202,MATCH(E53,'Employee Database'!$A$3:$A$202,0))/100,2),0)</f>
        <v/>
      </c>
      <c r="U53" s="44">
        <f>SUM(L53,S53,T53)</f>
        <v/>
      </c>
      <c r="V53" s="46">
        <f>IF(E53="","",IF(OR(B53="",C53="",D53=""),"Missing period/date",IF(L53&lt;0,"Check gross pay",IF(R53&lt;0,"Deductions exceed gross","Review statutory amounts"))))</f>
        <v/>
      </c>
      <c r="W53" s="42" t="n"/>
      <c r="X53" s="47" t="n"/>
    </row>
    <row r="54">
      <c r="A54" s="42" t="n"/>
      <c r="B54" s="39" t="n"/>
      <c r="C54" s="39" t="n"/>
      <c r="D54" s="39" t="n"/>
      <c r="E54" s="42" t="n"/>
      <c r="F54" s="43">
        <f>IFERROR(INDEX('Employee Database'!$B$3:$B$202,MATCH(E54,'Employee Database'!$A$3:$A$202,0)),"")</f>
        <v/>
      </c>
      <c r="G54" s="43">
        <f>IFERROR(INDEX('Employee Database'!$F$3:$F$202,MATCH(E54,'Employee Database'!$A$3:$A$202,0)),"")</f>
        <v/>
      </c>
      <c r="H54" s="43">
        <f>IFERROR(INDEX('Employee Database'!$I$3:$I$202,MATCH(E54,'Employee Database'!$A$3:$A$202,0)),"")</f>
        <v/>
      </c>
      <c r="I54" s="44">
        <f>IFERROR(IF(H54="Monthly",INDEX('Employee Database'!$J$3:$J$202,MATCH(E54,'Employee Database'!$A$3:$A$202,0))/12,IF(H54="Weekly",INDEX('Employee Database'!$J$3:$J$202,MATCH(E54,'Employee Database'!$A$3:$A$202,0))/52,IF(H54="Fortnightly",INDEX('Employee Database'!$J$3:$J$202,MATCH(E54,'Employee Database'!$A$3:$A$202,0))/26,IF(H54="Four-weekly",INDEX('Employee Database'!$J$3:$J$202,MATCH(E54,'Employee Database'!$A$3:$A$202,0))/13,0))))),0)</f>
        <v/>
      </c>
      <c r="J54" s="45" t="n"/>
      <c r="K54" s="45" t="n"/>
      <c r="L54" s="44">
        <f>SUM(I54:K54)</f>
        <v/>
      </c>
      <c r="M54" s="45" t="n"/>
      <c r="N54" s="45" t="n"/>
      <c r="O54" s="44">
        <f>IFERROR(ROUND(L54*INDEX('Employee Database'!$L$3:$L$202,MATCH(E54,'Employee Database'!$A$3:$A$202,0))/100,2),0)</f>
        <v/>
      </c>
      <c r="P54" s="45" t="n"/>
      <c r="Q54" s="44">
        <f>SUM(M54:P54)</f>
        <v/>
      </c>
      <c r="R54" s="44">
        <f>L54-Q54</f>
        <v/>
      </c>
      <c r="S54" s="45" t="n"/>
      <c r="T54" s="44">
        <f>IFERROR(ROUND(L54*INDEX('Employee Database'!$M$3:$M$202,MATCH(E54,'Employee Database'!$A$3:$A$202,0))/100,2),0)</f>
        <v/>
      </c>
      <c r="U54" s="44">
        <f>SUM(L54,S54,T54)</f>
        <v/>
      </c>
      <c r="V54" s="46">
        <f>IF(E54="","",IF(OR(B54="",C54="",D54=""),"Missing period/date",IF(L54&lt;0,"Check gross pay",IF(R54&lt;0,"Deductions exceed gross","Review statutory amounts"))))</f>
        <v/>
      </c>
      <c r="W54" s="42" t="n"/>
      <c r="X54" s="47" t="n"/>
    </row>
    <row r="55">
      <c r="A55" s="42" t="n"/>
      <c r="B55" s="39" t="n"/>
      <c r="C55" s="39" t="n"/>
      <c r="D55" s="39" t="n"/>
      <c r="E55" s="42" t="n"/>
      <c r="F55" s="43">
        <f>IFERROR(INDEX('Employee Database'!$B$3:$B$202,MATCH(E55,'Employee Database'!$A$3:$A$202,0)),"")</f>
        <v/>
      </c>
      <c r="G55" s="43">
        <f>IFERROR(INDEX('Employee Database'!$F$3:$F$202,MATCH(E55,'Employee Database'!$A$3:$A$202,0)),"")</f>
        <v/>
      </c>
      <c r="H55" s="43">
        <f>IFERROR(INDEX('Employee Database'!$I$3:$I$202,MATCH(E55,'Employee Database'!$A$3:$A$202,0)),"")</f>
        <v/>
      </c>
      <c r="I55" s="44">
        <f>IFERROR(IF(H55="Monthly",INDEX('Employee Database'!$J$3:$J$202,MATCH(E55,'Employee Database'!$A$3:$A$202,0))/12,IF(H55="Weekly",INDEX('Employee Database'!$J$3:$J$202,MATCH(E55,'Employee Database'!$A$3:$A$202,0))/52,IF(H55="Fortnightly",INDEX('Employee Database'!$J$3:$J$202,MATCH(E55,'Employee Database'!$A$3:$A$202,0))/26,IF(H55="Four-weekly",INDEX('Employee Database'!$J$3:$J$202,MATCH(E55,'Employee Database'!$A$3:$A$202,0))/13,0))))),0)</f>
        <v/>
      </c>
      <c r="J55" s="45" t="n"/>
      <c r="K55" s="45" t="n"/>
      <c r="L55" s="44">
        <f>SUM(I55:K55)</f>
        <v/>
      </c>
      <c r="M55" s="45" t="n"/>
      <c r="N55" s="45" t="n"/>
      <c r="O55" s="44">
        <f>IFERROR(ROUND(L55*INDEX('Employee Database'!$L$3:$L$202,MATCH(E55,'Employee Database'!$A$3:$A$202,0))/100,2),0)</f>
        <v/>
      </c>
      <c r="P55" s="45" t="n"/>
      <c r="Q55" s="44">
        <f>SUM(M55:P55)</f>
        <v/>
      </c>
      <c r="R55" s="44">
        <f>L55-Q55</f>
        <v/>
      </c>
      <c r="S55" s="45" t="n"/>
      <c r="T55" s="44">
        <f>IFERROR(ROUND(L55*INDEX('Employee Database'!$M$3:$M$202,MATCH(E55,'Employee Database'!$A$3:$A$202,0))/100,2),0)</f>
        <v/>
      </c>
      <c r="U55" s="44">
        <f>SUM(L55,S55,T55)</f>
        <v/>
      </c>
      <c r="V55" s="46">
        <f>IF(E55="","",IF(OR(B55="",C55="",D55=""),"Missing period/date",IF(L55&lt;0,"Check gross pay",IF(R55&lt;0,"Deductions exceed gross","Review statutory amounts"))))</f>
        <v/>
      </c>
      <c r="W55" s="42" t="n"/>
      <c r="X55" s="47" t="n"/>
    </row>
    <row r="56">
      <c r="A56" s="42" t="n"/>
      <c r="B56" s="39" t="n"/>
      <c r="C56" s="39" t="n"/>
      <c r="D56" s="39" t="n"/>
      <c r="E56" s="42" t="n"/>
      <c r="F56" s="43">
        <f>IFERROR(INDEX('Employee Database'!$B$3:$B$202,MATCH(E56,'Employee Database'!$A$3:$A$202,0)),"")</f>
        <v/>
      </c>
      <c r="G56" s="43">
        <f>IFERROR(INDEX('Employee Database'!$F$3:$F$202,MATCH(E56,'Employee Database'!$A$3:$A$202,0)),"")</f>
        <v/>
      </c>
      <c r="H56" s="43">
        <f>IFERROR(INDEX('Employee Database'!$I$3:$I$202,MATCH(E56,'Employee Database'!$A$3:$A$202,0)),"")</f>
        <v/>
      </c>
      <c r="I56" s="44">
        <f>IFERROR(IF(H56="Monthly",INDEX('Employee Database'!$J$3:$J$202,MATCH(E56,'Employee Database'!$A$3:$A$202,0))/12,IF(H56="Weekly",INDEX('Employee Database'!$J$3:$J$202,MATCH(E56,'Employee Database'!$A$3:$A$202,0))/52,IF(H56="Fortnightly",INDEX('Employee Database'!$J$3:$J$202,MATCH(E56,'Employee Database'!$A$3:$A$202,0))/26,IF(H56="Four-weekly",INDEX('Employee Database'!$J$3:$J$202,MATCH(E56,'Employee Database'!$A$3:$A$202,0))/13,0))))),0)</f>
        <v/>
      </c>
      <c r="J56" s="45" t="n"/>
      <c r="K56" s="45" t="n"/>
      <c r="L56" s="44">
        <f>SUM(I56:K56)</f>
        <v/>
      </c>
      <c r="M56" s="45" t="n"/>
      <c r="N56" s="45" t="n"/>
      <c r="O56" s="44">
        <f>IFERROR(ROUND(L56*INDEX('Employee Database'!$L$3:$L$202,MATCH(E56,'Employee Database'!$A$3:$A$202,0))/100,2),0)</f>
        <v/>
      </c>
      <c r="P56" s="45" t="n"/>
      <c r="Q56" s="44">
        <f>SUM(M56:P56)</f>
        <v/>
      </c>
      <c r="R56" s="44">
        <f>L56-Q56</f>
        <v/>
      </c>
      <c r="S56" s="45" t="n"/>
      <c r="T56" s="44">
        <f>IFERROR(ROUND(L56*INDEX('Employee Database'!$M$3:$M$202,MATCH(E56,'Employee Database'!$A$3:$A$202,0))/100,2),0)</f>
        <v/>
      </c>
      <c r="U56" s="44">
        <f>SUM(L56,S56,T56)</f>
        <v/>
      </c>
      <c r="V56" s="46">
        <f>IF(E56="","",IF(OR(B56="",C56="",D56=""),"Missing period/date",IF(L56&lt;0,"Check gross pay",IF(R56&lt;0,"Deductions exceed gross","Review statutory amounts"))))</f>
        <v/>
      </c>
      <c r="W56" s="42" t="n"/>
      <c r="X56" s="47" t="n"/>
    </row>
    <row r="57">
      <c r="A57" s="42" t="n"/>
      <c r="B57" s="39" t="n"/>
      <c r="C57" s="39" t="n"/>
      <c r="D57" s="39" t="n"/>
      <c r="E57" s="42" t="n"/>
      <c r="F57" s="43">
        <f>IFERROR(INDEX('Employee Database'!$B$3:$B$202,MATCH(E57,'Employee Database'!$A$3:$A$202,0)),"")</f>
        <v/>
      </c>
      <c r="G57" s="43">
        <f>IFERROR(INDEX('Employee Database'!$F$3:$F$202,MATCH(E57,'Employee Database'!$A$3:$A$202,0)),"")</f>
        <v/>
      </c>
      <c r="H57" s="43">
        <f>IFERROR(INDEX('Employee Database'!$I$3:$I$202,MATCH(E57,'Employee Database'!$A$3:$A$202,0)),"")</f>
        <v/>
      </c>
      <c r="I57" s="44">
        <f>IFERROR(IF(H57="Monthly",INDEX('Employee Database'!$J$3:$J$202,MATCH(E57,'Employee Database'!$A$3:$A$202,0))/12,IF(H57="Weekly",INDEX('Employee Database'!$J$3:$J$202,MATCH(E57,'Employee Database'!$A$3:$A$202,0))/52,IF(H57="Fortnightly",INDEX('Employee Database'!$J$3:$J$202,MATCH(E57,'Employee Database'!$A$3:$A$202,0))/26,IF(H57="Four-weekly",INDEX('Employee Database'!$J$3:$J$202,MATCH(E57,'Employee Database'!$A$3:$A$202,0))/13,0))))),0)</f>
        <v/>
      </c>
      <c r="J57" s="45" t="n"/>
      <c r="K57" s="45" t="n"/>
      <c r="L57" s="44">
        <f>SUM(I57:K57)</f>
        <v/>
      </c>
      <c r="M57" s="45" t="n"/>
      <c r="N57" s="45" t="n"/>
      <c r="O57" s="44">
        <f>IFERROR(ROUND(L57*INDEX('Employee Database'!$L$3:$L$202,MATCH(E57,'Employee Database'!$A$3:$A$202,0))/100,2),0)</f>
        <v/>
      </c>
      <c r="P57" s="45" t="n"/>
      <c r="Q57" s="44">
        <f>SUM(M57:P57)</f>
        <v/>
      </c>
      <c r="R57" s="44">
        <f>L57-Q57</f>
        <v/>
      </c>
      <c r="S57" s="45" t="n"/>
      <c r="T57" s="44">
        <f>IFERROR(ROUND(L57*INDEX('Employee Database'!$M$3:$M$202,MATCH(E57,'Employee Database'!$A$3:$A$202,0))/100,2),0)</f>
        <v/>
      </c>
      <c r="U57" s="44">
        <f>SUM(L57,S57,T57)</f>
        <v/>
      </c>
      <c r="V57" s="46">
        <f>IF(E57="","",IF(OR(B57="",C57="",D57=""),"Missing period/date",IF(L57&lt;0,"Check gross pay",IF(R57&lt;0,"Deductions exceed gross","Review statutory amounts"))))</f>
        <v/>
      </c>
      <c r="W57" s="42" t="n"/>
      <c r="X57" s="47" t="n"/>
    </row>
    <row r="58">
      <c r="A58" s="42" t="n"/>
      <c r="B58" s="39" t="n"/>
      <c r="C58" s="39" t="n"/>
      <c r="D58" s="39" t="n"/>
      <c r="E58" s="42" t="n"/>
      <c r="F58" s="43">
        <f>IFERROR(INDEX('Employee Database'!$B$3:$B$202,MATCH(E58,'Employee Database'!$A$3:$A$202,0)),"")</f>
        <v/>
      </c>
      <c r="G58" s="43">
        <f>IFERROR(INDEX('Employee Database'!$F$3:$F$202,MATCH(E58,'Employee Database'!$A$3:$A$202,0)),"")</f>
        <v/>
      </c>
      <c r="H58" s="43">
        <f>IFERROR(INDEX('Employee Database'!$I$3:$I$202,MATCH(E58,'Employee Database'!$A$3:$A$202,0)),"")</f>
        <v/>
      </c>
      <c r="I58" s="44">
        <f>IFERROR(IF(H58="Monthly",INDEX('Employee Database'!$J$3:$J$202,MATCH(E58,'Employee Database'!$A$3:$A$202,0))/12,IF(H58="Weekly",INDEX('Employee Database'!$J$3:$J$202,MATCH(E58,'Employee Database'!$A$3:$A$202,0))/52,IF(H58="Fortnightly",INDEX('Employee Database'!$J$3:$J$202,MATCH(E58,'Employee Database'!$A$3:$A$202,0))/26,IF(H58="Four-weekly",INDEX('Employee Database'!$J$3:$J$202,MATCH(E58,'Employee Database'!$A$3:$A$202,0))/13,0))))),0)</f>
        <v/>
      </c>
      <c r="J58" s="45" t="n"/>
      <c r="K58" s="45" t="n"/>
      <c r="L58" s="44">
        <f>SUM(I58:K58)</f>
        <v/>
      </c>
      <c r="M58" s="45" t="n"/>
      <c r="N58" s="45" t="n"/>
      <c r="O58" s="44">
        <f>IFERROR(ROUND(L58*INDEX('Employee Database'!$L$3:$L$202,MATCH(E58,'Employee Database'!$A$3:$A$202,0))/100,2),0)</f>
        <v/>
      </c>
      <c r="P58" s="45" t="n"/>
      <c r="Q58" s="44">
        <f>SUM(M58:P58)</f>
        <v/>
      </c>
      <c r="R58" s="44">
        <f>L58-Q58</f>
        <v/>
      </c>
      <c r="S58" s="45" t="n"/>
      <c r="T58" s="44">
        <f>IFERROR(ROUND(L58*INDEX('Employee Database'!$M$3:$M$202,MATCH(E58,'Employee Database'!$A$3:$A$202,0))/100,2),0)</f>
        <v/>
      </c>
      <c r="U58" s="44">
        <f>SUM(L58,S58,T58)</f>
        <v/>
      </c>
      <c r="V58" s="46">
        <f>IF(E58="","",IF(OR(B58="",C58="",D58=""),"Missing period/date",IF(L58&lt;0,"Check gross pay",IF(R58&lt;0,"Deductions exceed gross","Review statutory amounts"))))</f>
        <v/>
      </c>
      <c r="W58" s="42" t="n"/>
      <c r="X58" s="47" t="n"/>
    </row>
    <row r="59">
      <c r="A59" s="42" t="n"/>
      <c r="B59" s="39" t="n"/>
      <c r="C59" s="39" t="n"/>
      <c r="D59" s="39" t="n"/>
      <c r="E59" s="42" t="n"/>
      <c r="F59" s="43">
        <f>IFERROR(INDEX('Employee Database'!$B$3:$B$202,MATCH(E59,'Employee Database'!$A$3:$A$202,0)),"")</f>
        <v/>
      </c>
      <c r="G59" s="43">
        <f>IFERROR(INDEX('Employee Database'!$F$3:$F$202,MATCH(E59,'Employee Database'!$A$3:$A$202,0)),"")</f>
        <v/>
      </c>
      <c r="H59" s="43">
        <f>IFERROR(INDEX('Employee Database'!$I$3:$I$202,MATCH(E59,'Employee Database'!$A$3:$A$202,0)),"")</f>
        <v/>
      </c>
      <c r="I59" s="44">
        <f>IFERROR(IF(H59="Monthly",INDEX('Employee Database'!$J$3:$J$202,MATCH(E59,'Employee Database'!$A$3:$A$202,0))/12,IF(H59="Weekly",INDEX('Employee Database'!$J$3:$J$202,MATCH(E59,'Employee Database'!$A$3:$A$202,0))/52,IF(H59="Fortnightly",INDEX('Employee Database'!$J$3:$J$202,MATCH(E59,'Employee Database'!$A$3:$A$202,0))/26,IF(H59="Four-weekly",INDEX('Employee Database'!$J$3:$J$202,MATCH(E59,'Employee Database'!$A$3:$A$202,0))/13,0))))),0)</f>
        <v/>
      </c>
      <c r="J59" s="45" t="n"/>
      <c r="K59" s="45" t="n"/>
      <c r="L59" s="44">
        <f>SUM(I59:K59)</f>
        <v/>
      </c>
      <c r="M59" s="45" t="n"/>
      <c r="N59" s="45" t="n"/>
      <c r="O59" s="44">
        <f>IFERROR(ROUND(L59*INDEX('Employee Database'!$L$3:$L$202,MATCH(E59,'Employee Database'!$A$3:$A$202,0))/100,2),0)</f>
        <v/>
      </c>
      <c r="P59" s="45" t="n"/>
      <c r="Q59" s="44">
        <f>SUM(M59:P59)</f>
        <v/>
      </c>
      <c r="R59" s="44">
        <f>L59-Q59</f>
        <v/>
      </c>
      <c r="S59" s="45" t="n"/>
      <c r="T59" s="44">
        <f>IFERROR(ROUND(L59*INDEX('Employee Database'!$M$3:$M$202,MATCH(E59,'Employee Database'!$A$3:$A$202,0))/100,2),0)</f>
        <v/>
      </c>
      <c r="U59" s="44">
        <f>SUM(L59,S59,T59)</f>
        <v/>
      </c>
      <c r="V59" s="46">
        <f>IF(E59="","",IF(OR(B59="",C59="",D59=""),"Missing period/date",IF(L59&lt;0,"Check gross pay",IF(R59&lt;0,"Deductions exceed gross","Review statutory amounts"))))</f>
        <v/>
      </c>
      <c r="W59" s="42" t="n"/>
      <c r="X59" s="47" t="n"/>
    </row>
    <row r="60">
      <c r="A60" s="42" t="n"/>
      <c r="B60" s="39" t="n"/>
      <c r="C60" s="39" t="n"/>
      <c r="D60" s="39" t="n"/>
      <c r="E60" s="42" t="n"/>
      <c r="F60" s="43">
        <f>IFERROR(INDEX('Employee Database'!$B$3:$B$202,MATCH(E60,'Employee Database'!$A$3:$A$202,0)),"")</f>
        <v/>
      </c>
      <c r="G60" s="43">
        <f>IFERROR(INDEX('Employee Database'!$F$3:$F$202,MATCH(E60,'Employee Database'!$A$3:$A$202,0)),"")</f>
        <v/>
      </c>
      <c r="H60" s="43">
        <f>IFERROR(INDEX('Employee Database'!$I$3:$I$202,MATCH(E60,'Employee Database'!$A$3:$A$202,0)),"")</f>
        <v/>
      </c>
      <c r="I60" s="44">
        <f>IFERROR(IF(H60="Monthly",INDEX('Employee Database'!$J$3:$J$202,MATCH(E60,'Employee Database'!$A$3:$A$202,0))/12,IF(H60="Weekly",INDEX('Employee Database'!$J$3:$J$202,MATCH(E60,'Employee Database'!$A$3:$A$202,0))/52,IF(H60="Fortnightly",INDEX('Employee Database'!$J$3:$J$202,MATCH(E60,'Employee Database'!$A$3:$A$202,0))/26,IF(H60="Four-weekly",INDEX('Employee Database'!$J$3:$J$202,MATCH(E60,'Employee Database'!$A$3:$A$202,0))/13,0))))),0)</f>
        <v/>
      </c>
      <c r="J60" s="45" t="n"/>
      <c r="K60" s="45" t="n"/>
      <c r="L60" s="44">
        <f>SUM(I60:K60)</f>
        <v/>
      </c>
      <c r="M60" s="45" t="n"/>
      <c r="N60" s="45" t="n"/>
      <c r="O60" s="44">
        <f>IFERROR(ROUND(L60*INDEX('Employee Database'!$L$3:$L$202,MATCH(E60,'Employee Database'!$A$3:$A$202,0))/100,2),0)</f>
        <v/>
      </c>
      <c r="P60" s="45" t="n"/>
      <c r="Q60" s="44">
        <f>SUM(M60:P60)</f>
        <v/>
      </c>
      <c r="R60" s="44">
        <f>L60-Q60</f>
        <v/>
      </c>
      <c r="S60" s="45" t="n"/>
      <c r="T60" s="44">
        <f>IFERROR(ROUND(L60*INDEX('Employee Database'!$M$3:$M$202,MATCH(E60,'Employee Database'!$A$3:$A$202,0))/100,2),0)</f>
        <v/>
      </c>
      <c r="U60" s="44">
        <f>SUM(L60,S60,T60)</f>
        <v/>
      </c>
      <c r="V60" s="46">
        <f>IF(E60="","",IF(OR(B60="",C60="",D60=""),"Missing period/date",IF(L60&lt;0,"Check gross pay",IF(R60&lt;0,"Deductions exceed gross","Review statutory amounts"))))</f>
        <v/>
      </c>
      <c r="W60" s="42" t="n"/>
      <c r="X60" s="47" t="n"/>
    </row>
    <row r="61">
      <c r="A61" s="42" t="n"/>
      <c r="B61" s="39" t="n"/>
      <c r="C61" s="39" t="n"/>
      <c r="D61" s="39" t="n"/>
      <c r="E61" s="42" t="n"/>
      <c r="F61" s="43">
        <f>IFERROR(INDEX('Employee Database'!$B$3:$B$202,MATCH(E61,'Employee Database'!$A$3:$A$202,0)),"")</f>
        <v/>
      </c>
      <c r="G61" s="43">
        <f>IFERROR(INDEX('Employee Database'!$F$3:$F$202,MATCH(E61,'Employee Database'!$A$3:$A$202,0)),"")</f>
        <v/>
      </c>
      <c r="H61" s="43">
        <f>IFERROR(INDEX('Employee Database'!$I$3:$I$202,MATCH(E61,'Employee Database'!$A$3:$A$202,0)),"")</f>
        <v/>
      </c>
      <c r="I61" s="44">
        <f>IFERROR(IF(H61="Monthly",INDEX('Employee Database'!$J$3:$J$202,MATCH(E61,'Employee Database'!$A$3:$A$202,0))/12,IF(H61="Weekly",INDEX('Employee Database'!$J$3:$J$202,MATCH(E61,'Employee Database'!$A$3:$A$202,0))/52,IF(H61="Fortnightly",INDEX('Employee Database'!$J$3:$J$202,MATCH(E61,'Employee Database'!$A$3:$A$202,0))/26,IF(H61="Four-weekly",INDEX('Employee Database'!$J$3:$J$202,MATCH(E61,'Employee Database'!$A$3:$A$202,0))/13,0))))),0)</f>
        <v/>
      </c>
      <c r="J61" s="45" t="n"/>
      <c r="K61" s="45" t="n"/>
      <c r="L61" s="44">
        <f>SUM(I61:K61)</f>
        <v/>
      </c>
      <c r="M61" s="45" t="n"/>
      <c r="N61" s="45" t="n"/>
      <c r="O61" s="44">
        <f>IFERROR(ROUND(L61*INDEX('Employee Database'!$L$3:$L$202,MATCH(E61,'Employee Database'!$A$3:$A$202,0))/100,2),0)</f>
        <v/>
      </c>
      <c r="P61" s="45" t="n"/>
      <c r="Q61" s="44">
        <f>SUM(M61:P61)</f>
        <v/>
      </c>
      <c r="R61" s="44">
        <f>L61-Q61</f>
        <v/>
      </c>
      <c r="S61" s="45" t="n"/>
      <c r="T61" s="44">
        <f>IFERROR(ROUND(L61*INDEX('Employee Database'!$M$3:$M$202,MATCH(E61,'Employee Database'!$A$3:$A$202,0))/100,2),0)</f>
        <v/>
      </c>
      <c r="U61" s="44">
        <f>SUM(L61,S61,T61)</f>
        <v/>
      </c>
      <c r="V61" s="46">
        <f>IF(E61="","",IF(OR(B61="",C61="",D61=""),"Missing period/date",IF(L61&lt;0,"Check gross pay",IF(R61&lt;0,"Deductions exceed gross","Review statutory amounts"))))</f>
        <v/>
      </c>
      <c r="W61" s="42" t="n"/>
      <c r="X61" s="47" t="n"/>
    </row>
    <row r="62">
      <c r="A62" s="42" t="n"/>
      <c r="B62" s="39" t="n"/>
      <c r="C62" s="39" t="n"/>
      <c r="D62" s="39" t="n"/>
      <c r="E62" s="42" t="n"/>
      <c r="F62" s="43">
        <f>IFERROR(INDEX('Employee Database'!$B$3:$B$202,MATCH(E62,'Employee Database'!$A$3:$A$202,0)),"")</f>
        <v/>
      </c>
      <c r="G62" s="43">
        <f>IFERROR(INDEX('Employee Database'!$F$3:$F$202,MATCH(E62,'Employee Database'!$A$3:$A$202,0)),"")</f>
        <v/>
      </c>
      <c r="H62" s="43">
        <f>IFERROR(INDEX('Employee Database'!$I$3:$I$202,MATCH(E62,'Employee Database'!$A$3:$A$202,0)),"")</f>
        <v/>
      </c>
      <c r="I62" s="44">
        <f>IFERROR(IF(H62="Monthly",INDEX('Employee Database'!$J$3:$J$202,MATCH(E62,'Employee Database'!$A$3:$A$202,0))/12,IF(H62="Weekly",INDEX('Employee Database'!$J$3:$J$202,MATCH(E62,'Employee Database'!$A$3:$A$202,0))/52,IF(H62="Fortnightly",INDEX('Employee Database'!$J$3:$J$202,MATCH(E62,'Employee Database'!$A$3:$A$202,0))/26,IF(H62="Four-weekly",INDEX('Employee Database'!$J$3:$J$202,MATCH(E62,'Employee Database'!$A$3:$A$202,0))/13,0))))),0)</f>
        <v/>
      </c>
      <c r="J62" s="45" t="n"/>
      <c r="K62" s="45" t="n"/>
      <c r="L62" s="44">
        <f>SUM(I62:K62)</f>
        <v/>
      </c>
      <c r="M62" s="45" t="n"/>
      <c r="N62" s="45" t="n"/>
      <c r="O62" s="44">
        <f>IFERROR(ROUND(L62*INDEX('Employee Database'!$L$3:$L$202,MATCH(E62,'Employee Database'!$A$3:$A$202,0))/100,2),0)</f>
        <v/>
      </c>
      <c r="P62" s="45" t="n"/>
      <c r="Q62" s="44">
        <f>SUM(M62:P62)</f>
        <v/>
      </c>
      <c r="R62" s="44">
        <f>L62-Q62</f>
        <v/>
      </c>
      <c r="S62" s="45" t="n"/>
      <c r="T62" s="44">
        <f>IFERROR(ROUND(L62*INDEX('Employee Database'!$M$3:$M$202,MATCH(E62,'Employee Database'!$A$3:$A$202,0))/100,2),0)</f>
        <v/>
      </c>
      <c r="U62" s="44">
        <f>SUM(L62,S62,T62)</f>
        <v/>
      </c>
      <c r="V62" s="46">
        <f>IF(E62="","",IF(OR(B62="",C62="",D62=""),"Missing period/date",IF(L62&lt;0,"Check gross pay",IF(R62&lt;0,"Deductions exceed gross","Review statutory amounts"))))</f>
        <v/>
      </c>
      <c r="W62" s="42" t="n"/>
      <c r="X62" s="47" t="n"/>
    </row>
    <row r="63">
      <c r="A63" s="42" t="n"/>
      <c r="B63" s="39" t="n"/>
      <c r="C63" s="39" t="n"/>
      <c r="D63" s="39" t="n"/>
      <c r="E63" s="42" t="n"/>
      <c r="F63" s="43">
        <f>IFERROR(INDEX('Employee Database'!$B$3:$B$202,MATCH(E63,'Employee Database'!$A$3:$A$202,0)),"")</f>
        <v/>
      </c>
      <c r="G63" s="43">
        <f>IFERROR(INDEX('Employee Database'!$F$3:$F$202,MATCH(E63,'Employee Database'!$A$3:$A$202,0)),"")</f>
        <v/>
      </c>
      <c r="H63" s="43">
        <f>IFERROR(INDEX('Employee Database'!$I$3:$I$202,MATCH(E63,'Employee Database'!$A$3:$A$202,0)),"")</f>
        <v/>
      </c>
      <c r="I63" s="44">
        <f>IFERROR(IF(H63="Monthly",INDEX('Employee Database'!$J$3:$J$202,MATCH(E63,'Employee Database'!$A$3:$A$202,0))/12,IF(H63="Weekly",INDEX('Employee Database'!$J$3:$J$202,MATCH(E63,'Employee Database'!$A$3:$A$202,0))/52,IF(H63="Fortnightly",INDEX('Employee Database'!$J$3:$J$202,MATCH(E63,'Employee Database'!$A$3:$A$202,0))/26,IF(H63="Four-weekly",INDEX('Employee Database'!$J$3:$J$202,MATCH(E63,'Employee Database'!$A$3:$A$202,0))/13,0))))),0)</f>
        <v/>
      </c>
      <c r="J63" s="45" t="n"/>
      <c r="K63" s="45" t="n"/>
      <c r="L63" s="44">
        <f>SUM(I63:K63)</f>
        <v/>
      </c>
      <c r="M63" s="45" t="n"/>
      <c r="N63" s="45" t="n"/>
      <c r="O63" s="44">
        <f>IFERROR(ROUND(L63*INDEX('Employee Database'!$L$3:$L$202,MATCH(E63,'Employee Database'!$A$3:$A$202,0))/100,2),0)</f>
        <v/>
      </c>
      <c r="P63" s="45" t="n"/>
      <c r="Q63" s="44">
        <f>SUM(M63:P63)</f>
        <v/>
      </c>
      <c r="R63" s="44">
        <f>L63-Q63</f>
        <v/>
      </c>
      <c r="S63" s="45" t="n"/>
      <c r="T63" s="44">
        <f>IFERROR(ROUND(L63*INDEX('Employee Database'!$M$3:$M$202,MATCH(E63,'Employee Database'!$A$3:$A$202,0))/100,2),0)</f>
        <v/>
      </c>
      <c r="U63" s="44">
        <f>SUM(L63,S63,T63)</f>
        <v/>
      </c>
      <c r="V63" s="46">
        <f>IF(E63="","",IF(OR(B63="",C63="",D63=""),"Missing period/date",IF(L63&lt;0,"Check gross pay",IF(R63&lt;0,"Deductions exceed gross","Review statutory amounts"))))</f>
        <v/>
      </c>
      <c r="W63" s="42" t="n"/>
      <c r="X63" s="47" t="n"/>
    </row>
    <row r="64">
      <c r="A64" s="42" t="n"/>
      <c r="B64" s="39" t="n"/>
      <c r="C64" s="39" t="n"/>
      <c r="D64" s="39" t="n"/>
      <c r="E64" s="42" t="n"/>
      <c r="F64" s="43">
        <f>IFERROR(INDEX('Employee Database'!$B$3:$B$202,MATCH(E64,'Employee Database'!$A$3:$A$202,0)),"")</f>
        <v/>
      </c>
      <c r="G64" s="43">
        <f>IFERROR(INDEX('Employee Database'!$F$3:$F$202,MATCH(E64,'Employee Database'!$A$3:$A$202,0)),"")</f>
        <v/>
      </c>
      <c r="H64" s="43">
        <f>IFERROR(INDEX('Employee Database'!$I$3:$I$202,MATCH(E64,'Employee Database'!$A$3:$A$202,0)),"")</f>
        <v/>
      </c>
      <c r="I64" s="44">
        <f>IFERROR(IF(H64="Monthly",INDEX('Employee Database'!$J$3:$J$202,MATCH(E64,'Employee Database'!$A$3:$A$202,0))/12,IF(H64="Weekly",INDEX('Employee Database'!$J$3:$J$202,MATCH(E64,'Employee Database'!$A$3:$A$202,0))/52,IF(H64="Fortnightly",INDEX('Employee Database'!$J$3:$J$202,MATCH(E64,'Employee Database'!$A$3:$A$202,0))/26,IF(H64="Four-weekly",INDEX('Employee Database'!$J$3:$J$202,MATCH(E64,'Employee Database'!$A$3:$A$202,0))/13,0))))),0)</f>
        <v/>
      </c>
      <c r="J64" s="45" t="n"/>
      <c r="K64" s="45" t="n"/>
      <c r="L64" s="44">
        <f>SUM(I64:K64)</f>
        <v/>
      </c>
      <c r="M64" s="45" t="n"/>
      <c r="N64" s="45" t="n"/>
      <c r="O64" s="44">
        <f>IFERROR(ROUND(L64*INDEX('Employee Database'!$L$3:$L$202,MATCH(E64,'Employee Database'!$A$3:$A$202,0))/100,2),0)</f>
        <v/>
      </c>
      <c r="P64" s="45" t="n"/>
      <c r="Q64" s="44">
        <f>SUM(M64:P64)</f>
        <v/>
      </c>
      <c r="R64" s="44">
        <f>L64-Q64</f>
        <v/>
      </c>
      <c r="S64" s="45" t="n"/>
      <c r="T64" s="44">
        <f>IFERROR(ROUND(L64*INDEX('Employee Database'!$M$3:$M$202,MATCH(E64,'Employee Database'!$A$3:$A$202,0))/100,2),0)</f>
        <v/>
      </c>
      <c r="U64" s="44">
        <f>SUM(L64,S64,T64)</f>
        <v/>
      </c>
      <c r="V64" s="46">
        <f>IF(E64="","",IF(OR(B64="",C64="",D64=""),"Missing period/date",IF(L64&lt;0,"Check gross pay",IF(R64&lt;0,"Deductions exceed gross","Review statutory amounts"))))</f>
        <v/>
      </c>
      <c r="W64" s="42" t="n"/>
      <c r="X64" s="47" t="n"/>
    </row>
    <row r="65">
      <c r="A65" s="42" t="n"/>
      <c r="B65" s="39" t="n"/>
      <c r="C65" s="39" t="n"/>
      <c r="D65" s="39" t="n"/>
      <c r="E65" s="42" t="n"/>
      <c r="F65" s="43">
        <f>IFERROR(INDEX('Employee Database'!$B$3:$B$202,MATCH(E65,'Employee Database'!$A$3:$A$202,0)),"")</f>
        <v/>
      </c>
      <c r="G65" s="43">
        <f>IFERROR(INDEX('Employee Database'!$F$3:$F$202,MATCH(E65,'Employee Database'!$A$3:$A$202,0)),"")</f>
        <v/>
      </c>
      <c r="H65" s="43">
        <f>IFERROR(INDEX('Employee Database'!$I$3:$I$202,MATCH(E65,'Employee Database'!$A$3:$A$202,0)),"")</f>
        <v/>
      </c>
      <c r="I65" s="44">
        <f>IFERROR(IF(H65="Monthly",INDEX('Employee Database'!$J$3:$J$202,MATCH(E65,'Employee Database'!$A$3:$A$202,0))/12,IF(H65="Weekly",INDEX('Employee Database'!$J$3:$J$202,MATCH(E65,'Employee Database'!$A$3:$A$202,0))/52,IF(H65="Fortnightly",INDEX('Employee Database'!$J$3:$J$202,MATCH(E65,'Employee Database'!$A$3:$A$202,0))/26,IF(H65="Four-weekly",INDEX('Employee Database'!$J$3:$J$202,MATCH(E65,'Employee Database'!$A$3:$A$202,0))/13,0))))),0)</f>
        <v/>
      </c>
      <c r="J65" s="45" t="n"/>
      <c r="K65" s="45" t="n"/>
      <c r="L65" s="44">
        <f>SUM(I65:K65)</f>
        <v/>
      </c>
      <c r="M65" s="45" t="n"/>
      <c r="N65" s="45" t="n"/>
      <c r="O65" s="44">
        <f>IFERROR(ROUND(L65*INDEX('Employee Database'!$L$3:$L$202,MATCH(E65,'Employee Database'!$A$3:$A$202,0))/100,2),0)</f>
        <v/>
      </c>
      <c r="P65" s="45" t="n"/>
      <c r="Q65" s="44">
        <f>SUM(M65:P65)</f>
        <v/>
      </c>
      <c r="R65" s="44">
        <f>L65-Q65</f>
        <v/>
      </c>
      <c r="S65" s="45" t="n"/>
      <c r="T65" s="44">
        <f>IFERROR(ROUND(L65*INDEX('Employee Database'!$M$3:$M$202,MATCH(E65,'Employee Database'!$A$3:$A$202,0))/100,2),0)</f>
        <v/>
      </c>
      <c r="U65" s="44">
        <f>SUM(L65,S65,T65)</f>
        <v/>
      </c>
      <c r="V65" s="46">
        <f>IF(E65="","",IF(OR(B65="",C65="",D65=""),"Missing period/date",IF(L65&lt;0,"Check gross pay",IF(R65&lt;0,"Deductions exceed gross","Review statutory amounts"))))</f>
        <v/>
      </c>
      <c r="W65" s="42" t="n"/>
      <c r="X65" s="47" t="n"/>
    </row>
    <row r="66">
      <c r="A66" s="42" t="n"/>
      <c r="B66" s="39" t="n"/>
      <c r="C66" s="39" t="n"/>
      <c r="D66" s="39" t="n"/>
      <c r="E66" s="42" t="n"/>
      <c r="F66" s="43">
        <f>IFERROR(INDEX('Employee Database'!$B$3:$B$202,MATCH(E66,'Employee Database'!$A$3:$A$202,0)),"")</f>
        <v/>
      </c>
      <c r="G66" s="43">
        <f>IFERROR(INDEX('Employee Database'!$F$3:$F$202,MATCH(E66,'Employee Database'!$A$3:$A$202,0)),"")</f>
        <v/>
      </c>
      <c r="H66" s="43">
        <f>IFERROR(INDEX('Employee Database'!$I$3:$I$202,MATCH(E66,'Employee Database'!$A$3:$A$202,0)),"")</f>
        <v/>
      </c>
      <c r="I66" s="44">
        <f>IFERROR(IF(H66="Monthly",INDEX('Employee Database'!$J$3:$J$202,MATCH(E66,'Employee Database'!$A$3:$A$202,0))/12,IF(H66="Weekly",INDEX('Employee Database'!$J$3:$J$202,MATCH(E66,'Employee Database'!$A$3:$A$202,0))/52,IF(H66="Fortnightly",INDEX('Employee Database'!$J$3:$J$202,MATCH(E66,'Employee Database'!$A$3:$A$202,0))/26,IF(H66="Four-weekly",INDEX('Employee Database'!$J$3:$J$202,MATCH(E66,'Employee Database'!$A$3:$A$202,0))/13,0))))),0)</f>
        <v/>
      </c>
      <c r="J66" s="45" t="n"/>
      <c r="K66" s="45" t="n"/>
      <c r="L66" s="44">
        <f>SUM(I66:K66)</f>
        <v/>
      </c>
      <c r="M66" s="45" t="n"/>
      <c r="N66" s="45" t="n"/>
      <c r="O66" s="44">
        <f>IFERROR(ROUND(L66*INDEX('Employee Database'!$L$3:$L$202,MATCH(E66,'Employee Database'!$A$3:$A$202,0))/100,2),0)</f>
        <v/>
      </c>
      <c r="P66" s="45" t="n"/>
      <c r="Q66" s="44">
        <f>SUM(M66:P66)</f>
        <v/>
      </c>
      <c r="R66" s="44">
        <f>L66-Q66</f>
        <v/>
      </c>
      <c r="S66" s="45" t="n"/>
      <c r="T66" s="44">
        <f>IFERROR(ROUND(L66*INDEX('Employee Database'!$M$3:$M$202,MATCH(E66,'Employee Database'!$A$3:$A$202,0))/100,2),0)</f>
        <v/>
      </c>
      <c r="U66" s="44">
        <f>SUM(L66,S66,T66)</f>
        <v/>
      </c>
      <c r="V66" s="46">
        <f>IF(E66="","",IF(OR(B66="",C66="",D66=""),"Missing period/date",IF(L66&lt;0,"Check gross pay",IF(R66&lt;0,"Deductions exceed gross","Review statutory amounts"))))</f>
        <v/>
      </c>
      <c r="W66" s="42" t="n"/>
      <c r="X66" s="47" t="n"/>
    </row>
    <row r="67">
      <c r="A67" s="42" t="n"/>
      <c r="B67" s="39" t="n"/>
      <c r="C67" s="39" t="n"/>
      <c r="D67" s="39" t="n"/>
      <c r="E67" s="42" t="n"/>
      <c r="F67" s="43">
        <f>IFERROR(INDEX('Employee Database'!$B$3:$B$202,MATCH(E67,'Employee Database'!$A$3:$A$202,0)),"")</f>
        <v/>
      </c>
      <c r="G67" s="43">
        <f>IFERROR(INDEX('Employee Database'!$F$3:$F$202,MATCH(E67,'Employee Database'!$A$3:$A$202,0)),"")</f>
        <v/>
      </c>
      <c r="H67" s="43">
        <f>IFERROR(INDEX('Employee Database'!$I$3:$I$202,MATCH(E67,'Employee Database'!$A$3:$A$202,0)),"")</f>
        <v/>
      </c>
      <c r="I67" s="44">
        <f>IFERROR(IF(H67="Monthly",INDEX('Employee Database'!$J$3:$J$202,MATCH(E67,'Employee Database'!$A$3:$A$202,0))/12,IF(H67="Weekly",INDEX('Employee Database'!$J$3:$J$202,MATCH(E67,'Employee Database'!$A$3:$A$202,0))/52,IF(H67="Fortnightly",INDEX('Employee Database'!$J$3:$J$202,MATCH(E67,'Employee Database'!$A$3:$A$202,0))/26,IF(H67="Four-weekly",INDEX('Employee Database'!$J$3:$J$202,MATCH(E67,'Employee Database'!$A$3:$A$202,0))/13,0))))),0)</f>
        <v/>
      </c>
      <c r="J67" s="45" t="n"/>
      <c r="K67" s="45" t="n"/>
      <c r="L67" s="44">
        <f>SUM(I67:K67)</f>
        <v/>
      </c>
      <c r="M67" s="45" t="n"/>
      <c r="N67" s="45" t="n"/>
      <c r="O67" s="44">
        <f>IFERROR(ROUND(L67*INDEX('Employee Database'!$L$3:$L$202,MATCH(E67,'Employee Database'!$A$3:$A$202,0))/100,2),0)</f>
        <v/>
      </c>
      <c r="P67" s="45" t="n"/>
      <c r="Q67" s="44">
        <f>SUM(M67:P67)</f>
        <v/>
      </c>
      <c r="R67" s="44">
        <f>L67-Q67</f>
        <v/>
      </c>
      <c r="S67" s="45" t="n"/>
      <c r="T67" s="44">
        <f>IFERROR(ROUND(L67*INDEX('Employee Database'!$M$3:$M$202,MATCH(E67,'Employee Database'!$A$3:$A$202,0))/100,2),0)</f>
        <v/>
      </c>
      <c r="U67" s="44">
        <f>SUM(L67,S67,T67)</f>
        <v/>
      </c>
      <c r="V67" s="46">
        <f>IF(E67="","",IF(OR(B67="",C67="",D67=""),"Missing period/date",IF(L67&lt;0,"Check gross pay",IF(R67&lt;0,"Deductions exceed gross","Review statutory amounts"))))</f>
        <v/>
      </c>
      <c r="W67" s="42" t="n"/>
      <c r="X67" s="47" t="n"/>
    </row>
    <row r="68">
      <c r="A68" s="42" t="n"/>
      <c r="B68" s="39" t="n"/>
      <c r="C68" s="39" t="n"/>
      <c r="D68" s="39" t="n"/>
      <c r="E68" s="42" t="n"/>
      <c r="F68" s="43">
        <f>IFERROR(INDEX('Employee Database'!$B$3:$B$202,MATCH(E68,'Employee Database'!$A$3:$A$202,0)),"")</f>
        <v/>
      </c>
      <c r="G68" s="43">
        <f>IFERROR(INDEX('Employee Database'!$F$3:$F$202,MATCH(E68,'Employee Database'!$A$3:$A$202,0)),"")</f>
        <v/>
      </c>
      <c r="H68" s="43">
        <f>IFERROR(INDEX('Employee Database'!$I$3:$I$202,MATCH(E68,'Employee Database'!$A$3:$A$202,0)),"")</f>
        <v/>
      </c>
      <c r="I68" s="44">
        <f>IFERROR(IF(H68="Monthly",INDEX('Employee Database'!$J$3:$J$202,MATCH(E68,'Employee Database'!$A$3:$A$202,0))/12,IF(H68="Weekly",INDEX('Employee Database'!$J$3:$J$202,MATCH(E68,'Employee Database'!$A$3:$A$202,0))/52,IF(H68="Fortnightly",INDEX('Employee Database'!$J$3:$J$202,MATCH(E68,'Employee Database'!$A$3:$A$202,0))/26,IF(H68="Four-weekly",INDEX('Employee Database'!$J$3:$J$202,MATCH(E68,'Employee Database'!$A$3:$A$202,0))/13,0))))),0)</f>
        <v/>
      </c>
      <c r="J68" s="45" t="n"/>
      <c r="K68" s="45" t="n"/>
      <c r="L68" s="44">
        <f>SUM(I68:K68)</f>
        <v/>
      </c>
      <c r="M68" s="45" t="n"/>
      <c r="N68" s="45" t="n"/>
      <c r="O68" s="44">
        <f>IFERROR(ROUND(L68*INDEX('Employee Database'!$L$3:$L$202,MATCH(E68,'Employee Database'!$A$3:$A$202,0))/100,2),0)</f>
        <v/>
      </c>
      <c r="P68" s="45" t="n"/>
      <c r="Q68" s="44">
        <f>SUM(M68:P68)</f>
        <v/>
      </c>
      <c r="R68" s="44">
        <f>L68-Q68</f>
        <v/>
      </c>
      <c r="S68" s="45" t="n"/>
      <c r="T68" s="44">
        <f>IFERROR(ROUND(L68*INDEX('Employee Database'!$M$3:$M$202,MATCH(E68,'Employee Database'!$A$3:$A$202,0))/100,2),0)</f>
        <v/>
      </c>
      <c r="U68" s="44">
        <f>SUM(L68,S68,T68)</f>
        <v/>
      </c>
      <c r="V68" s="46">
        <f>IF(E68="","",IF(OR(B68="",C68="",D68=""),"Missing period/date",IF(L68&lt;0,"Check gross pay",IF(R68&lt;0,"Deductions exceed gross","Review statutory amounts"))))</f>
        <v/>
      </c>
      <c r="W68" s="42" t="n"/>
      <c r="X68" s="47" t="n"/>
    </row>
    <row r="69">
      <c r="A69" s="42" t="n"/>
      <c r="B69" s="39" t="n"/>
      <c r="C69" s="39" t="n"/>
      <c r="D69" s="39" t="n"/>
      <c r="E69" s="42" t="n"/>
      <c r="F69" s="43">
        <f>IFERROR(INDEX('Employee Database'!$B$3:$B$202,MATCH(E69,'Employee Database'!$A$3:$A$202,0)),"")</f>
        <v/>
      </c>
      <c r="G69" s="43">
        <f>IFERROR(INDEX('Employee Database'!$F$3:$F$202,MATCH(E69,'Employee Database'!$A$3:$A$202,0)),"")</f>
        <v/>
      </c>
      <c r="H69" s="43">
        <f>IFERROR(INDEX('Employee Database'!$I$3:$I$202,MATCH(E69,'Employee Database'!$A$3:$A$202,0)),"")</f>
        <v/>
      </c>
      <c r="I69" s="44">
        <f>IFERROR(IF(H69="Monthly",INDEX('Employee Database'!$J$3:$J$202,MATCH(E69,'Employee Database'!$A$3:$A$202,0))/12,IF(H69="Weekly",INDEX('Employee Database'!$J$3:$J$202,MATCH(E69,'Employee Database'!$A$3:$A$202,0))/52,IF(H69="Fortnightly",INDEX('Employee Database'!$J$3:$J$202,MATCH(E69,'Employee Database'!$A$3:$A$202,0))/26,IF(H69="Four-weekly",INDEX('Employee Database'!$J$3:$J$202,MATCH(E69,'Employee Database'!$A$3:$A$202,0))/13,0))))),0)</f>
        <v/>
      </c>
      <c r="J69" s="45" t="n"/>
      <c r="K69" s="45" t="n"/>
      <c r="L69" s="44">
        <f>SUM(I69:K69)</f>
        <v/>
      </c>
      <c r="M69" s="45" t="n"/>
      <c r="N69" s="45" t="n"/>
      <c r="O69" s="44">
        <f>IFERROR(ROUND(L69*INDEX('Employee Database'!$L$3:$L$202,MATCH(E69,'Employee Database'!$A$3:$A$202,0))/100,2),0)</f>
        <v/>
      </c>
      <c r="P69" s="45" t="n"/>
      <c r="Q69" s="44">
        <f>SUM(M69:P69)</f>
        <v/>
      </c>
      <c r="R69" s="44">
        <f>L69-Q69</f>
        <v/>
      </c>
      <c r="S69" s="45" t="n"/>
      <c r="T69" s="44">
        <f>IFERROR(ROUND(L69*INDEX('Employee Database'!$M$3:$M$202,MATCH(E69,'Employee Database'!$A$3:$A$202,0))/100,2),0)</f>
        <v/>
      </c>
      <c r="U69" s="44">
        <f>SUM(L69,S69,T69)</f>
        <v/>
      </c>
      <c r="V69" s="46">
        <f>IF(E69="","",IF(OR(B69="",C69="",D69=""),"Missing period/date",IF(L69&lt;0,"Check gross pay",IF(R69&lt;0,"Deductions exceed gross","Review statutory amounts"))))</f>
        <v/>
      </c>
      <c r="W69" s="42" t="n"/>
      <c r="X69" s="47" t="n"/>
    </row>
    <row r="70">
      <c r="A70" s="42" t="n"/>
      <c r="B70" s="39" t="n"/>
      <c r="C70" s="39" t="n"/>
      <c r="D70" s="39" t="n"/>
      <c r="E70" s="42" t="n"/>
      <c r="F70" s="43">
        <f>IFERROR(INDEX('Employee Database'!$B$3:$B$202,MATCH(E70,'Employee Database'!$A$3:$A$202,0)),"")</f>
        <v/>
      </c>
      <c r="G70" s="43">
        <f>IFERROR(INDEX('Employee Database'!$F$3:$F$202,MATCH(E70,'Employee Database'!$A$3:$A$202,0)),"")</f>
        <v/>
      </c>
      <c r="H70" s="43">
        <f>IFERROR(INDEX('Employee Database'!$I$3:$I$202,MATCH(E70,'Employee Database'!$A$3:$A$202,0)),"")</f>
        <v/>
      </c>
      <c r="I70" s="44">
        <f>IFERROR(IF(H70="Monthly",INDEX('Employee Database'!$J$3:$J$202,MATCH(E70,'Employee Database'!$A$3:$A$202,0))/12,IF(H70="Weekly",INDEX('Employee Database'!$J$3:$J$202,MATCH(E70,'Employee Database'!$A$3:$A$202,0))/52,IF(H70="Fortnightly",INDEX('Employee Database'!$J$3:$J$202,MATCH(E70,'Employee Database'!$A$3:$A$202,0))/26,IF(H70="Four-weekly",INDEX('Employee Database'!$J$3:$J$202,MATCH(E70,'Employee Database'!$A$3:$A$202,0))/13,0))))),0)</f>
        <v/>
      </c>
      <c r="J70" s="45" t="n"/>
      <c r="K70" s="45" t="n"/>
      <c r="L70" s="44">
        <f>SUM(I70:K70)</f>
        <v/>
      </c>
      <c r="M70" s="45" t="n"/>
      <c r="N70" s="45" t="n"/>
      <c r="O70" s="44">
        <f>IFERROR(ROUND(L70*INDEX('Employee Database'!$L$3:$L$202,MATCH(E70,'Employee Database'!$A$3:$A$202,0))/100,2),0)</f>
        <v/>
      </c>
      <c r="P70" s="45" t="n"/>
      <c r="Q70" s="44">
        <f>SUM(M70:P70)</f>
        <v/>
      </c>
      <c r="R70" s="44">
        <f>L70-Q70</f>
        <v/>
      </c>
      <c r="S70" s="45" t="n"/>
      <c r="T70" s="44">
        <f>IFERROR(ROUND(L70*INDEX('Employee Database'!$M$3:$M$202,MATCH(E70,'Employee Database'!$A$3:$A$202,0))/100,2),0)</f>
        <v/>
      </c>
      <c r="U70" s="44">
        <f>SUM(L70,S70,T70)</f>
        <v/>
      </c>
      <c r="V70" s="46">
        <f>IF(E70="","",IF(OR(B70="",C70="",D70=""),"Missing period/date",IF(L70&lt;0,"Check gross pay",IF(R70&lt;0,"Deductions exceed gross","Review statutory amounts"))))</f>
        <v/>
      </c>
      <c r="W70" s="42" t="n"/>
      <c r="X70" s="47" t="n"/>
    </row>
    <row r="71">
      <c r="A71" s="42" t="n"/>
      <c r="B71" s="39" t="n"/>
      <c r="C71" s="39" t="n"/>
      <c r="D71" s="39" t="n"/>
      <c r="E71" s="42" t="n"/>
      <c r="F71" s="43">
        <f>IFERROR(INDEX('Employee Database'!$B$3:$B$202,MATCH(E71,'Employee Database'!$A$3:$A$202,0)),"")</f>
        <v/>
      </c>
      <c r="G71" s="43">
        <f>IFERROR(INDEX('Employee Database'!$F$3:$F$202,MATCH(E71,'Employee Database'!$A$3:$A$202,0)),"")</f>
        <v/>
      </c>
      <c r="H71" s="43">
        <f>IFERROR(INDEX('Employee Database'!$I$3:$I$202,MATCH(E71,'Employee Database'!$A$3:$A$202,0)),"")</f>
        <v/>
      </c>
      <c r="I71" s="44">
        <f>IFERROR(IF(H71="Monthly",INDEX('Employee Database'!$J$3:$J$202,MATCH(E71,'Employee Database'!$A$3:$A$202,0))/12,IF(H71="Weekly",INDEX('Employee Database'!$J$3:$J$202,MATCH(E71,'Employee Database'!$A$3:$A$202,0))/52,IF(H71="Fortnightly",INDEX('Employee Database'!$J$3:$J$202,MATCH(E71,'Employee Database'!$A$3:$A$202,0))/26,IF(H71="Four-weekly",INDEX('Employee Database'!$J$3:$J$202,MATCH(E71,'Employee Database'!$A$3:$A$202,0))/13,0))))),0)</f>
        <v/>
      </c>
      <c r="J71" s="45" t="n"/>
      <c r="K71" s="45" t="n"/>
      <c r="L71" s="44">
        <f>SUM(I71:K71)</f>
        <v/>
      </c>
      <c r="M71" s="45" t="n"/>
      <c r="N71" s="45" t="n"/>
      <c r="O71" s="44">
        <f>IFERROR(ROUND(L71*INDEX('Employee Database'!$L$3:$L$202,MATCH(E71,'Employee Database'!$A$3:$A$202,0))/100,2),0)</f>
        <v/>
      </c>
      <c r="P71" s="45" t="n"/>
      <c r="Q71" s="44">
        <f>SUM(M71:P71)</f>
        <v/>
      </c>
      <c r="R71" s="44">
        <f>L71-Q71</f>
        <v/>
      </c>
      <c r="S71" s="45" t="n"/>
      <c r="T71" s="44">
        <f>IFERROR(ROUND(L71*INDEX('Employee Database'!$M$3:$M$202,MATCH(E71,'Employee Database'!$A$3:$A$202,0))/100,2),0)</f>
        <v/>
      </c>
      <c r="U71" s="44">
        <f>SUM(L71,S71,T71)</f>
        <v/>
      </c>
      <c r="V71" s="46">
        <f>IF(E71="","",IF(OR(B71="",C71="",D71=""),"Missing period/date",IF(L71&lt;0,"Check gross pay",IF(R71&lt;0,"Deductions exceed gross","Review statutory amounts"))))</f>
        <v/>
      </c>
      <c r="W71" s="42" t="n"/>
      <c r="X71" s="47" t="n"/>
    </row>
    <row r="72">
      <c r="A72" s="42" t="n"/>
      <c r="B72" s="39" t="n"/>
      <c r="C72" s="39" t="n"/>
      <c r="D72" s="39" t="n"/>
      <c r="E72" s="42" t="n"/>
      <c r="F72" s="43">
        <f>IFERROR(INDEX('Employee Database'!$B$3:$B$202,MATCH(E72,'Employee Database'!$A$3:$A$202,0)),"")</f>
        <v/>
      </c>
      <c r="G72" s="43">
        <f>IFERROR(INDEX('Employee Database'!$F$3:$F$202,MATCH(E72,'Employee Database'!$A$3:$A$202,0)),"")</f>
        <v/>
      </c>
      <c r="H72" s="43">
        <f>IFERROR(INDEX('Employee Database'!$I$3:$I$202,MATCH(E72,'Employee Database'!$A$3:$A$202,0)),"")</f>
        <v/>
      </c>
      <c r="I72" s="44">
        <f>IFERROR(IF(H72="Monthly",INDEX('Employee Database'!$J$3:$J$202,MATCH(E72,'Employee Database'!$A$3:$A$202,0))/12,IF(H72="Weekly",INDEX('Employee Database'!$J$3:$J$202,MATCH(E72,'Employee Database'!$A$3:$A$202,0))/52,IF(H72="Fortnightly",INDEX('Employee Database'!$J$3:$J$202,MATCH(E72,'Employee Database'!$A$3:$A$202,0))/26,IF(H72="Four-weekly",INDEX('Employee Database'!$J$3:$J$202,MATCH(E72,'Employee Database'!$A$3:$A$202,0))/13,0))))),0)</f>
        <v/>
      </c>
      <c r="J72" s="45" t="n"/>
      <c r="K72" s="45" t="n"/>
      <c r="L72" s="44">
        <f>SUM(I72:K72)</f>
        <v/>
      </c>
      <c r="M72" s="45" t="n"/>
      <c r="N72" s="45" t="n"/>
      <c r="O72" s="44">
        <f>IFERROR(ROUND(L72*INDEX('Employee Database'!$L$3:$L$202,MATCH(E72,'Employee Database'!$A$3:$A$202,0))/100,2),0)</f>
        <v/>
      </c>
      <c r="P72" s="45" t="n"/>
      <c r="Q72" s="44">
        <f>SUM(M72:P72)</f>
        <v/>
      </c>
      <c r="R72" s="44">
        <f>L72-Q72</f>
        <v/>
      </c>
      <c r="S72" s="45" t="n"/>
      <c r="T72" s="44">
        <f>IFERROR(ROUND(L72*INDEX('Employee Database'!$M$3:$M$202,MATCH(E72,'Employee Database'!$A$3:$A$202,0))/100,2),0)</f>
        <v/>
      </c>
      <c r="U72" s="44">
        <f>SUM(L72,S72,T72)</f>
        <v/>
      </c>
      <c r="V72" s="46">
        <f>IF(E72="","",IF(OR(B72="",C72="",D72=""),"Missing period/date",IF(L72&lt;0,"Check gross pay",IF(R72&lt;0,"Deductions exceed gross","Review statutory amounts"))))</f>
        <v/>
      </c>
      <c r="W72" s="42" t="n"/>
      <c r="X72" s="47" t="n"/>
    </row>
    <row r="73">
      <c r="A73" s="42" t="n"/>
      <c r="B73" s="39" t="n"/>
      <c r="C73" s="39" t="n"/>
      <c r="D73" s="39" t="n"/>
      <c r="E73" s="42" t="n"/>
      <c r="F73" s="43">
        <f>IFERROR(INDEX('Employee Database'!$B$3:$B$202,MATCH(E73,'Employee Database'!$A$3:$A$202,0)),"")</f>
        <v/>
      </c>
      <c r="G73" s="43">
        <f>IFERROR(INDEX('Employee Database'!$F$3:$F$202,MATCH(E73,'Employee Database'!$A$3:$A$202,0)),"")</f>
        <v/>
      </c>
      <c r="H73" s="43">
        <f>IFERROR(INDEX('Employee Database'!$I$3:$I$202,MATCH(E73,'Employee Database'!$A$3:$A$202,0)),"")</f>
        <v/>
      </c>
      <c r="I73" s="44">
        <f>IFERROR(IF(H73="Monthly",INDEX('Employee Database'!$J$3:$J$202,MATCH(E73,'Employee Database'!$A$3:$A$202,0))/12,IF(H73="Weekly",INDEX('Employee Database'!$J$3:$J$202,MATCH(E73,'Employee Database'!$A$3:$A$202,0))/52,IF(H73="Fortnightly",INDEX('Employee Database'!$J$3:$J$202,MATCH(E73,'Employee Database'!$A$3:$A$202,0))/26,IF(H73="Four-weekly",INDEX('Employee Database'!$J$3:$J$202,MATCH(E73,'Employee Database'!$A$3:$A$202,0))/13,0))))),0)</f>
        <v/>
      </c>
      <c r="J73" s="45" t="n"/>
      <c r="K73" s="45" t="n"/>
      <c r="L73" s="44">
        <f>SUM(I73:K73)</f>
        <v/>
      </c>
      <c r="M73" s="45" t="n"/>
      <c r="N73" s="45" t="n"/>
      <c r="O73" s="44">
        <f>IFERROR(ROUND(L73*INDEX('Employee Database'!$L$3:$L$202,MATCH(E73,'Employee Database'!$A$3:$A$202,0))/100,2),0)</f>
        <v/>
      </c>
      <c r="P73" s="45" t="n"/>
      <c r="Q73" s="44">
        <f>SUM(M73:P73)</f>
        <v/>
      </c>
      <c r="R73" s="44">
        <f>L73-Q73</f>
        <v/>
      </c>
      <c r="S73" s="45" t="n"/>
      <c r="T73" s="44">
        <f>IFERROR(ROUND(L73*INDEX('Employee Database'!$M$3:$M$202,MATCH(E73,'Employee Database'!$A$3:$A$202,0))/100,2),0)</f>
        <v/>
      </c>
      <c r="U73" s="44">
        <f>SUM(L73,S73,T73)</f>
        <v/>
      </c>
      <c r="V73" s="46">
        <f>IF(E73="","",IF(OR(B73="",C73="",D73=""),"Missing period/date",IF(L73&lt;0,"Check gross pay",IF(R73&lt;0,"Deductions exceed gross","Review statutory amounts"))))</f>
        <v/>
      </c>
      <c r="W73" s="42" t="n"/>
      <c r="X73" s="47" t="n"/>
    </row>
    <row r="74">
      <c r="A74" s="42" t="n"/>
      <c r="B74" s="39" t="n"/>
      <c r="C74" s="39" t="n"/>
      <c r="D74" s="39" t="n"/>
      <c r="E74" s="42" t="n"/>
      <c r="F74" s="43">
        <f>IFERROR(INDEX('Employee Database'!$B$3:$B$202,MATCH(E74,'Employee Database'!$A$3:$A$202,0)),"")</f>
        <v/>
      </c>
      <c r="G74" s="43">
        <f>IFERROR(INDEX('Employee Database'!$F$3:$F$202,MATCH(E74,'Employee Database'!$A$3:$A$202,0)),"")</f>
        <v/>
      </c>
      <c r="H74" s="43">
        <f>IFERROR(INDEX('Employee Database'!$I$3:$I$202,MATCH(E74,'Employee Database'!$A$3:$A$202,0)),"")</f>
        <v/>
      </c>
      <c r="I74" s="44">
        <f>IFERROR(IF(H74="Monthly",INDEX('Employee Database'!$J$3:$J$202,MATCH(E74,'Employee Database'!$A$3:$A$202,0))/12,IF(H74="Weekly",INDEX('Employee Database'!$J$3:$J$202,MATCH(E74,'Employee Database'!$A$3:$A$202,0))/52,IF(H74="Fortnightly",INDEX('Employee Database'!$J$3:$J$202,MATCH(E74,'Employee Database'!$A$3:$A$202,0))/26,IF(H74="Four-weekly",INDEX('Employee Database'!$J$3:$J$202,MATCH(E74,'Employee Database'!$A$3:$A$202,0))/13,0))))),0)</f>
        <v/>
      </c>
      <c r="J74" s="45" t="n"/>
      <c r="K74" s="45" t="n"/>
      <c r="L74" s="44">
        <f>SUM(I74:K74)</f>
        <v/>
      </c>
      <c r="M74" s="45" t="n"/>
      <c r="N74" s="45" t="n"/>
      <c r="O74" s="44">
        <f>IFERROR(ROUND(L74*INDEX('Employee Database'!$L$3:$L$202,MATCH(E74,'Employee Database'!$A$3:$A$202,0))/100,2),0)</f>
        <v/>
      </c>
      <c r="P74" s="45" t="n"/>
      <c r="Q74" s="44">
        <f>SUM(M74:P74)</f>
        <v/>
      </c>
      <c r="R74" s="44">
        <f>L74-Q74</f>
        <v/>
      </c>
      <c r="S74" s="45" t="n"/>
      <c r="T74" s="44">
        <f>IFERROR(ROUND(L74*INDEX('Employee Database'!$M$3:$M$202,MATCH(E74,'Employee Database'!$A$3:$A$202,0))/100,2),0)</f>
        <v/>
      </c>
      <c r="U74" s="44">
        <f>SUM(L74,S74,T74)</f>
        <v/>
      </c>
      <c r="V74" s="46">
        <f>IF(E74="","",IF(OR(B74="",C74="",D74=""),"Missing period/date",IF(L74&lt;0,"Check gross pay",IF(R74&lt;0,"Deductions exceed gross","Review statutory amounts"))))</f>
        <v/>
      </c>
      <c r="W74" s="42" t="n"/>
      <c r="X74" s="47" t="n"/>
    </row>
    <row r="75">
      <c r="A75" s="42" t="n"/>
      <c r="B75" s="39" t="n"/>
      <c r="C75" s="39" t="n"/>
      <c r="D75" s="39" t="n"/>
      <c r="E75" s="42" t="n"/>
      <c r="F75" s="43">
        <f>IFERROR(INDEX('Employee Database'!$B$3:$B$202,MATCH(E75,'Employee Database'!$A$3:$A$202,0)),"")</f>
        <v/>
      </c>
      <c r="G75" s="43">
        <f>IFERROR(INDEX('Employee Database'!$F$3:$F$202,MATCH(E75,'Employee Database'!$A$3:$A$202,0)),"")</f>
        <v/>
      </c>
      <c r="H75" s="43">
        <f>IFERROR(INDEX('Employee Database'!$I$3:$I$202,MATCH(E75,'Employee Database'!$A$3:$A$202,0)),"")</f>
        <v/>
      </c>
      <c r="I75" s="44">
        <f>IFERROR(IF(H75="Monthly",INDEX('Employee Database'!$J$3:$J$202,MATCH(E75,'Employee Database'!$A$3:$A$202,0))/12,IF(H75="Weekly",INDEX('Employee Database'!$J$3:$J$202,MATCH(E75,'Employee Database'!$A$3:$A$202,0))/52,IF(H75="Fortnightly",INDEX('Employee Database'!$J$3:$J$202,MATCH(E75,'Employee Database'!$A$3:$A$202,0))/26,IF(H75="Four-weekly",INDEX('Employee Database'!$J$3:$J$202,MATCH(E75,'Employee Database'!$A$3:$A$202,0))/13,0))))),0)</f>
        <v/>
      </c>
      <c r="J75" s="45" t="n"/>
      <c r="K75" s="45" t="n"/>
      <c r="L75" s="44">
        <f>SUM(I75:K75)</f>
        <v/>
      </c>
      <c r="M75" s="45" t="n"/>
      <c r="N75" s="45" t="n"/>
      <c r="O75" s="44">
        <f>IFERROR(ROUND(L75*INDEX('Employee Database'!$L$3:$L$202,MATCH(E75,'Employee Database'!$A$3:$A$202,0))/100,2),0)</f>
        <v/>
      </c>
      <c r="P75" s="45" t="n"/>
      <c r="Q75" s="44">
        <f>SUM(M75:P75)</f>
        <v/>
      </c>
      <c r="R75" s="44">
        <f>L75-Q75</f>
        <v/>
      </c>
      <c r="S75" s="45" t="n"/>
      <c r="T75" s="44">
        <f>IFERROR(ROUND(L75*INDEX('Employee Database'!$M$3:$M$202,MATCH(E75,'Employee Database'!$A$3:$A$202,0))/100,2),0)</f>
        <v/>
      </c>
      <c r="U75" s="44">
        <f>SUM(L75,S75,T75)</f>
        <v/>
      </c>
      <c r="V75" s="46">
        <f>IF(E75="","",IF(OR(B75="",C75="",D75=""),"Missing period/date",IF(L75&lt;0,"Check gross pay",IF(R75&lt;0,"Deductions exceed gross","Review statutory amounts"))))</f>
        <v/>
      </c>
      <c r="W75" s="42" t="n"/>
      <c r="X75" s="47" t="n"/>
    </row>
    <row r="76">
      <c r="A76" s="42" t="n"/>
      <c r="B76" s="39" t="n"/>
      <c r="C76" s="39" t="n"/>
      <c r="D76" s="39" t="n"/>
      <c r="E76" s="42" t="n"/>
      <c r="F76" s="43">
        <f>IFERROR(INDEX('Employee Database'!$B$3:$B$202,MATCH(E76,'Employee Database'!$A$3:$A$202,0)),"")</f>
        <v/>
      </c>
      <c r="G76" s="43">
        <f>IFERROR(INDEX('Employee Database'!$F$3:$F$202,MATCH(E76,'Employee Database'!$A$3:$A$202,0)),"")</f>
        <v/>
      </c>
      <c r="H76" s="43">
        <f>IFERROR(INDEX('Employee Database'!$I$3:$I$202,MATCH(E76,'Employee Database'!$A$3:$A$202,0)),"")</f>
        <v/>
      </c>
      <c r="I76" s="44">
        <f>IFERROR(IF(H76="Monthly",INDEX('Employee Database'!$J$3:$J$202,MATCH(E76,'Employee Database'!$A$3:$A$202,0))/12,IF(H76="Weekly",INDEX('Employee Database'!$J$3:$J$202,MATCH(E76,'Employee Database'!$A$3:$A$202,0))/52,IF(H76="Fortnightly",INDEX('Employee Database'!$J$3:$J$202,MATCH(E76,'Employee Database'!$A$3:$A$202,0))/26,IF(H76="Four-weekly",INDEX('Employee Database'!$J$3:$J$202,MATCH(E76,'Employee Database'!$A$3:$A$202,0))/13,0))))),0)</f>
        <v/>
      </c>
      <c r="J76" s="45" t="n"/>
      <c r="K76" s="45" t="n"/>
      <c r="L76" s="44">
        <f>SUM(I76:K76)</f>
        <v/>
      </c>
      <c r="M76" s="45" t="n"/>
      <c r="N76" s="45" t="n"/>
      <c r="O76" s="44">
        <f>IFERROR(ROUND(L76*INDEX('Employee Database'!$L$3:$L$202,MATCH(E76,'Employee Database'!$A$3:$A$202,0))/100,2),0)</f>
        <v/>
      </c>
      <c r="P76" s="45" t="n"/>
      <c r="Q76" s="44">
        <f>SUM(M76:P76)</f>
        <v/>
      </c>
      <c r="R76" s="44">
        <f>L76-Q76</f>
        <v/>
      </c>
      <c r="S76" s="45" t="n"/>
      <c r="T76" s="44">
        <f>IFERROR(ROUND(L76*INDEX('Employee Database'!$M$3:$M$202,MATCH(E76,'Employee Database'!$A$3:$A$202,0))/100,2),0)</f>
        <v/>
      </c>
      <c r="U76" s="44">
        <f>SUM(L76,S76,T76)</f>
        <v/>
      </c>
      <c r="V76" s="46">
        <f>IF(E76="","",IF(OR(B76="",C76="",D76=""),"Missing period/date",IF(L76&lt;0,"Check gross pay",IF(R76&lt;0,"Deductions exceed gross","Review statutory amounts"))))</f>
        <v/>
      </c>
      <c r="W76" s="42" t="n"/>
      <c r="X76" s="47" t="n"/>
    </row>
    <row r="77">
      <c r="A77" s="42" t="n"/>
      <c r="B77" s="39" t="n"/>
      <c r="C77" s="39" t="n"/>
      <c r="D77" s="39" t="n"/>
      <c r="E77" s="42" t="n"/>
      <c r="F77" s="43">
        <f>IFERROR(INDEX('Employee Database'!$B$3:$B$202,MATCH(E77,'Employee Database'!$A$3:$A$202,0)),"")</f>
        <v/>
      </c>
      <c r="G77" s="43">
        <f>IFERROR(INDEX('Employee Database'!$F$3:$F$202,MATCH(E77,'Employee Database'!$A$3:$A$202,0)),"")</f>
        <v/>
      </c>
      <c r="H77" s="43">
        <f>IFERROR(INDEX('Employee Database'!$I$3:$I$202,MATCH(E77,'Employee Database'!$A$3:$A$202,0)),"")</f>
        <v/>
      </c>
      <c r="I77" s="44">
        <f>IFERROR(IF(H77="Monthly",INDEX('Employee Database'!$J$3:$J$202,MATCH(E77,'Employee Database'!$A$3:$A$202,0))/12,IF(H77="Weekly",INDEX('Employee Database'!$J$3:$J$202,MATCH(E77,'Employee Database'!$A$3:$A$202,0))/52,IF(H77="Fortnightly",INDEX('Employee Database'!$J$3:$J$202,MATCH(E77,'Employee Database'!$A$3:$A$202,0))/26,IF(H77="Four-weekly",INDEX('Employee Database'!$J$3:$J$202,MATCH(E77,'Employee Database'!$A$3:$A$202,0))/13,0))))),0)</f>
        <v/>
      </c>
      <c r="J77" s="45" t="n"/>
      <c r="K77" s="45" t="n"/>
      <c r="L77" s="44">
        <f>SUM(I77:K77)</f>
        <v/>
      </c>
      <c r="M77" s="45" t="n"/>
      <c r="N77" s="45" t="n"/>
      <c r="O77" s="44">
        <f>IFERROR(ROUND(L77*INDEX('Employee Database'!$L$3:$L$202,MATCH(E77,'Employee Database'!$A$3:$A$202,0))/100,2),0)</f>
        <v/>
      </c>
      <c r="P77" s="45" t="n"/>
      <c r="Q77" s="44">
        <f>SUM(M77:P77)</f>
        <v/>
      </c>
      <c r="R77" s="44">
        <f>L77-Q77</f>
        <v/>
      </c>
      <c r="S77" s="45" t="n"/>
      <c r="T77" s="44">
        <f>IFERROR(ROUND(L77*INDEX('Employee Database'!$M$3:$M$202,MATCH(E77,'Employee Database'!$A$3:$A$202,0))/100,2),0)</f>
        <v/>
      </c>
      <c r="U77" s="44">
        <f>SUM(L77,S77,T77)</f>
        <v/>
      </c>
      <c r="V77" s="46">
        <f>IF(E77="","",IF(OR(B77="",C77="",D77=""),"Missing period/date",IF(L77&lt;0,"Check gross pay",IF(R77&lt;0,"Deductions exceed gross","Review statutory amounts"))))</f>
        <v/>
      </c>
      <c r="W77" s="42" t="n"/>
      <c r="X77" s="47" t="n"/>
    </row>
    <row r="78">
      <c r="A78" s="42" t="n"/>
      <c r="B78" s="39" t="n"/>
      <c r="C78" s="39" t="n"/>
      <c r="D78" s="39" t="n"/>
      <c r="E78" s="42" t="n"/>
      <c r="F78" s="43">
        <f>IFERROR(INDEX('Employee Database'!$B$3:$B$202,MATCH(E78,'Employee Database'!$A$3:$A$202,0)),"")</f>
        <v/>
      </c>
      <c r="G78" s="43">
        <f>IFERROR(INDEX('Employee Database'!$F$3:$F$202,MATCH(E78,'Employee Database'!$A$3:$A$202,0)),"")</f>
        <v/>
      </c>
      <c r="H78" s="43">
        <f>IFERROR(INDEX('Employee Database'!$I$3:$I$202,MATCH(E78,'Employee Database'!$A$3:$A$202,0)),"")</f>
        <v/>
      </c>
      <c r="I78" s="44">
        <f>IFERROR(IF(H78="Monthly",INDEX('Employee Database'!$J$3:$J$202,MATCH(E78,'Employee Database'!$A$3:$A$202,0))/12,IF(H78="Weekly",INDEX('Employee Database'!$J$3:$J$202,MATCH(E78,'Employee Database'!$A$3:$A$202,0))/52,IF(H78="Fortnightly",INDEX('Employee Database'!$J$3:$J$202,MATCH(E78,'Employee Database'!$A$3:$A$202,0))/26,IF(H78="Four-weekly",INDEX('Employee Database'!$J$3:$J$202,MATCH(E78,'Employee Database'!$A$3:$A$202,0))/13,0))))),0)</f>
        <v/>
      </c>
      <c r="J78" s="45" t="n"/>
      <c r="K78" s="45" t="n"/>
      <c r="L78" s="44">
        <f>SUM(I78:K78)</f>
        <v/>
      </c>
      <c r="M78" s="45" t="n"/>
      <c r="N78" s="45" t="n"/>
      <c r="O78" s="44">
        <f>IFERROR(ROUND(L78*INDEX('Employee Database'!$L$3:$L$202,MATCH(E78,'Employee Database'!$A$3:$A$202,0))/100,2),0)</f>
        <v/>
      </c>
      <c r="P78" s="45" t="n"/>
      <c r="Q78" s="44">
        <f>SUM(M78:P78)</f>
        <v/>
      </c>
      <c r="R78" s="44">
        <f>L78-Q78</f>
        <v/>
      </c>
      <c r="S78" s="45" t="n"/>
      <c r="T78" s="44">
        <f>IFERROR(ROUND(L78*INDEX('Employee Database'!$M$3:$M$202,MATCH(E78,'Employee Database'!$A$3:$A$202,0))/100,2),0)</f>
        <v/>
      </c>
      <c r="U78" s="44">
        <f>SUM(L78,S78,T78)</f>
        <v/>
      </c>
      <c r="V78" s="46">
        <f>IF(E78="","",IF(OR(B78="",C78="",D78=""),"Missing period/date",IF(L78&lt;0,"Check gross pay",IF(R78&lt;0,"Deductions exceed gross","Review statutory amounts"))))</f>
        <v/>
      </c>
      <c r="W78" s="42" t="n"/>
      <c r="X78" s="47" t="n"/>
    </row>
    <row r="79">
      <c r="A79" s="42" t="n"/>
      <c r="B79" s="39" t="n"/>
      <c r="C79" s="39" t="n"/>
      <c r="D79" s="39" t="n"/>
      <c r="E79" s="42" t="n"/>
      <c r="F79" s="43">
        <f>IFERROR(INDEX('Employee Database'!$B$3:$B$202,MATCH(E79,'Employee Database'!$A$3:$A$202,0)),"")</f>
        <v/>
      </c>
      <c r="G79" s="43">
        <f>IFERROR(INDEX('Employee Database'!$F$3:$F$202,MATCH(E79,'Employee Database'!$A$3:$A$202,0)),"")</f>
        <v/>
      </c>
      <c r="H79" s="43">
        <f>IFERROR(INDEX('Employee Database'!$I$3:$I$202,MATCH(E79,'Employee Database'!$A$3:$A$202,0)),"")</f>
        <v/>
      </c>
      <c r="I79" s="44">
        <f>IFERROR(IF(H79="Monthly",INDEX('Employee Database'!$J$3:$J$202,MATCH(E79,'Employee Database'!$A$3:$A$202,0))/12,IF(H79="Weekly",INDEX('Employee Database'!$J$3:$J$202,MATCH(E79,'Employee Database'!$A$3:$A$202,0))/52,IF(H79="Fortnightly",INDEX('Employee Database'!$J$3:$J$202,MATCH(E79,'Employee Database'!$A$3:$A$202,0))/26,IF(H79="Four-weekly",INDEX('Employee Database'!$J$3:$J$202,MATCH(E79,'Employee Database'!$A$3:$A$202,0))/13,0))))),0)</f>
        <v/>
      </c>
      <c r="J79" s="45" t="n"/>
      <c r="K79" s="45" t="n"/>
      <c r="L79" s="44">
        <f>SUM(I79:K79)</f>
        <v/>
      </c>
      <c r="M79" s="45" t="n"/>
      <c r="N79" s="45" t="n"/>
      <c r="O79" s="44">
        <f>IFERROR(ROUND(L79*INDEX('Employee Database'!$L$3:$L$202,MATCH(E79,'Employee Database'!$A$3:$A$202,0))/100,2),0)</f>
        <v/>
      </c>
      <c r="P79" s="45" t="n"/>
      <c r="Q79" s="44">
        <f>SUM(M79:P79)</f>
        <v/>
      </c>
      <c r="R79" s="44">
        <f>L79-Q79</f>
        <v/>
      </c>
      <c r="S79" s="45" t="n"/>
      <c r="T79" s="44">
        <f>IFERROR(ROUND(L79*INDEX('Employee Database'!$M$3:$M$202,MATCH(E79,'Employee Database'!$A$3:$A$202,0))/100,2),0)</f>
        <v/>
      </c>
      <c r="U79" s="44">
        <f>SUM(L79,S79,T79)</f>
        <v/>
      </c>
      <c r="V79" s="46">
        <f>IF(E79="","",IF(OR(B79="",C79="",D79=""),"Missing period/date",IF(L79&lt;0,"Check gross pay",IF(R79&lt;0,"Deductions exceed gross","Review statutory amounts"))))</f>
        <v/>
      </c>
      <c r="W79" s="42" t="n"/>
      <c r="X79" s="47" t="n"/>
    </row>
    <row r="80">
      <c r="A80" s="42" t="n"/>
      <c r="B80" s="39" t="n"/>
      <c r="C80" s="39" t="n"/>
      <c r="D80" s="39" t="n"/>
      <c r="E80" s="42" t="n"/>
      <c r="F80" s="43">
        <f>IFERROR(INDEX('Employee Database'!$B$3:$B$202,MATCH(E80,'Employee Database'!$A$3:$A$202,0)),"")</f>
        <v/>
      </c>
      <c r="G80" s="43">
        <f>IFERROR(INDEX('Employee Database'!$F$3:$F$202,MATCH(E80,'Employee Database'!$A$3:$A$202,0)),"")</f>
        <v/>
      </c>
      <c r="H80" s="43">
        <f>IFERROR(INDEX('Employee Database'!$I$3:$I$202,MATCH(E80,'Employee Database'!$A$3:$A$202,0)),"")</f>
        <v/>
      </c>
      <c r="I80" s="44">
        <f>IFERROR(IF(H80="Monthly",INDEX('Employee Database'!$J$3:$J$202,MATCH(E80,'Employee Database'!$A$3:$A$202,0))/12,IF(H80="Weekly",INDEX('Employee Database'!$J$3:$J$202,MATCH(E80,'Employee Database'!$A$3:$A$202,0))/52,IF(H80="Fortnightly",INDEX('Employee Database'!$J$3:$J$202,MATCH(E80,'Employee Database'!$A$3:$A$202,0))/26,IF(H80="Four-weekly",INDEX('Employee Database'!$J$3:$J$202,MATCH(E80,'Employee Database'!$A$3:$A$202,0))/13,0))))),0)</f>
        <v/>
      </c>
      <c r="J80" s="45" t="n"/>
      <c r="K80" s="45" t="n"/>
      <c r="L80" s="44">
        <f>SUM(I80:K80)</f>
        <v/>
      </c>
      <c r="M80" s="45" t="n"/>
      <c r="N80" s="45" t="n"/>
      <c r="O80" s="44">
        <f>IFERROR(ROUND(L80*INDEX('Employee Database'!$L$3:$L$202,MATCH(E80,'Employee Database'!$A$3:$A$202,0))/100,2),0)</f>
        <v/>
      </c>
      <c r="P80" s="45" t="n"/>
      <c r="Q80" s="44">
        <f>SUM(M80:P80)</f>
        <v/>
      </c>
      <c r="R80" s="44">
        <f>L80-Q80</f>
        <v/>
      </c>
      <c r="S80" s="45" t="n"/>
      <c r="T80" s="44">
        <f>IFERROR(ROUND(L80*INDEX('Employee Database'!$M$3:$M$202,MATCH(E80,'Employee Database'!$A$3:$A$202,0))/100,2),0)</f>
        <v/>
      </c>
      <c r="U80" s="44">
        <f>SUM(L80,S80,T80)</f>
        <v/>
      </c>
      <c r="V80" s="46">
        <f>IF(E80="","",IF(OR(B80="",C80="",D80=""),"Missing period/date",IF(L80&lt;0,"Check gross pay",IF(R80&lt;0,"Deductions exceed gross","Review statutory amounts"))))</f>
        <v/>
      </c>
      <c r="W80" s="42" t="n"/>
      <c r="X80" s="47" t="n"/>
    </row>
    <row r="81">
      <c r="A81" s="42" t="n"/>
      <c r="B81" s="39" t="n"/>
      <c r="C81" s="39" t="n"/>
      <c r="D81" s="39" t="n"/>
      <c r="E81" s="42" t="n"/>
      <c r="F81" s="43">
        <f>IFERROR(INDEX('Employee Database'!$B$3:$B$202,MATCH(E81,'Employee Database'!$A$3:$A$202,0)),"")</f>
        <v/>
      </c>
      <c r="G81" s="43">
        <f>IFERROR(INDEX('Employee Database'!$F$3:$F$202,MATCH(E81,'Employee Database'!$A$3:$A$202,0)),"")</f>
        <v/>
      </c>
      <c r="H81" s="43">
        <f>IFERROR(INDEX('Employee Database'!$I$3:$I$202,MATCH(E81,'Employee Database'!$A$3:$A$202,0)),"")</f>
        <v/>
      </c>
      <c r="I81" s="44">
        <f>IFERROR(IF(H81="Monthly",INDEX('Employee Database'!$J$3:$J$202,MATCH(E81,'Employee Database'!$A$3:$A$202,0))/12,IF(H81="Weekly",INDEX('Employee Database'!$J$3:$J$202,MATCH(E81,'Employee Database'!$A$3:$A$202,0))/52,IF(H81="Fortnightly",INDEX('Employee Database'!$J$3:$J$202,MATCH(E81,'Employee Database'!$A$3:$A$202,0))/26,IF(H81="Four-weekly",INDEX('Employee Database'!$J$3:$J$202,MATCH(E81,'Employee Database'!$A$3:$A$202,0))/13,0))))),0)</f>
        <v/>
      </c>
      <c r="J81" s="45" t="n"/>
      <c r="K81" s="45" t="n"/>
      <c r="L81" s="44">
        <f>SUM(I81:K81)</f>
        <v/>
      </c>
      <c r="M81" s="45" t="n"/>
      <c r="N81" s="45" t="n"/>
      <c r="O81" s="44">
        <f>IFERROR(ROUND(L81*INDEX('Employee Database'!$L$3:$L$202,MATCH(E81,'Employee Database'!$A$3:$A$202,0))/100,2),0)</f>
        <v/>
      </c>
      <c r="P81" s="45" t="n"/>
      <c r="Q81" s="44">
        <f>SUM(M81:P81)</f>
        <v/>
      </c>
      <c r="R81" s="44">
        <f>L81-Q81</f>
        <v/>
      </c>
      <c r="S81" s="45" t="n"/>
      <c r="T81" s="44">
        <f>IFERROR(ROUND(L81*INDEX('Employee Database'!$M$3:$M$202,MATCH(E81,'Employee Database'!$A$3:$A$202,0))/100,2),0)</f>
        <v/>
      </c>
      <c r="U81" s="44">
        <f>SUM(L81,S81,T81)</f>
        <v/>
      </c>
      <c r="V81" s="46">
        <f>IF(E81="","",IF(OR(B81="",C81="",D81=""),"Missing period/date",IF(L81&lt;0,"Check gross pay",IF(R81&lt;0,"Deductions exceed gross","Review statutory amounts"))))</f>
        <v/>
      </c>
      <c r="W81" s="42" t="n"/>
      <c r="X81" s="47" t="n"/>
    </row>
    <row r="82">
      <c r="A82" s="42" t="n"/>
      <c r="B82" s="39" t="n"/>
      <c r="C82" s="39" t="n"/>
      <c r="D82" s="39" t="n"/>
      <c r="E82" s="42" t="n"/>
      <c r="F82" s="43">
        <f>IFERROR(INDEX('Employee Database'!$B$3:$B$202,MATCH(E82,'Employee Database'!$A$3:$A$202,0)),"")</f>
        <v/>
      </c>
      <c r="G82" s="43">
        <f>IFERROR(INDEX('Employee Database'!$F$3:$F$202,MATCH(E82,'Employee Database'!$A$3:$A$202,0)),"")</f>
        <v/>
      </c>
      <c r="H82" s="43">
        <f>IFERROR(INDEX('Employee Database'!$I$3:$I$202,MATCH(E82,'Employee Database'!$A$3:$A$202,0)),"")</f>
        <v/>
      </c>
      <c r="I82" s="44">
        <f>IFERROR(IF(H82="Monthly",INDEX('Employee Database'!$J$3:$J$202,MATCH(E82,'Employee Database'!$A$3:$A$202,0))/12,IF(H82="Weekly",INDEX('Employee Database'!$J$3:$J$202,MATCH(E82,'Employee Database'!$A$3:$A$202,0))/52,IF(H82="Fortnightly",INDEX('Employee Database'!$J$3:$J$202,MATCH(E82,'Employee Database'!$A$3:$A$202,0))/26,IF(H82="Four-weekly",INDEX('Employee Database'!$J$3:$J$202,MATCH(E82,'Employee Database'!$A$3:$A$202,0))/13,0))))),0)</f>
        <v/>
      </c>
      <c r="J82" s="45" t="n"/>
      <c r="K82" s="45" t="n"/>
      <c r="L82" s="44">
        <f>SUM(I82:K82)</f>
        <v/>
      </c>
      <c r="M82" s="45" t="n"/>
      <c r="N82" s="45" t="n"/>
      <c r="O82" s="44">
        <f>IFERROR(ROUND(L82*INDEX('Employee Database'!$L$3:$L$202,MATCH(E82,'Employee Database'!$A$3:$A$202,0))/100,2),0)</f>
        <v/>
      </c>
      <c r="P82" s="45" t="n"/>
      <c r="Q82" s="44">
        <f>SUM(M82:P82)</f>
        <v/>
      </c>
      <c r="R82" s="44">
        <f>L82-Q82</f>
        <v/>
      </c>
      <c r="S82" s="45" t="n"/>
      <c r="T82" s="44">
        <f>IFERROR(ROUND(L82*INDEX('Employee Database'!$M$3:$M$202,MATCH(E82,'Employee Database'!$A$3:$A$202,0))/100,2),0)</f>
        <v/>
      </c>
      <c r="U82" s="44">
        <f>SUM(L82,S82,T82)</f>
        <v/>
      </c>
      <c r="V82" s="46">
        <f>IF(E82="","",IF(OR(B82="",C82="",D82=""),"Missing period/date",IF(L82&lt;0,"Check gross pay",IF(R82&lt;0,"Deductions exceed gross","Review statutory amounts"))))</f>
        <v/>
      </c>
      <c r="W82" s="42" t="n"/>
      <c r="X82" s="47" t="n"/>
    </row>
    <row r="83">
      <c r="A83" s="42" t="n"/>
      <c r="B83" s="39" t="n"/>
      <c r="C83" s="39" t="n"/>
      <c r="D83" s="39" t="n"/>
      <c r="E83" s="42" t="n"/>
      <c r="F83" s="43">
        <f>IFERROR(INDEX('Employee Database'!$B$3:$B$202,MATCH(E83,'Employee Database'!$A$3:$A$202,0)),"")</f>
        <v/>
      </c>
      <c r="G83" s="43">
        <f>IFERROR(INDEX('Employee Database'!$F$3:$F$202,MATCH(E83,'Employee Database'!$A$3:$A$202,0)),"")</f>
        <v/>
      </c>
      <c r="H83" s="43">
        <f>IFERROR(INDEX('Employee Database'!$I$3:$I$202,MATCH(E83,'Employee Database'!$A$3:$A$202,0)),"")</f>
        <v/>
      </c>
      <c r="I83" s="44">
        <f>IFERROR(IF(H83="Monthly",INDEX('Employee Database'!$J$3:$J$202,MATCH(E83,'Employee Database'!$A$3:$A$202,0))/12,IF(H83="Weekly",INDEX('Employee Database'!$J$3:$J$202,MATCH(E83,'Employee Database'!$A$3:$A$202,0))/52,IF(H83="Fortnightly",INDEX('Employee Database'!$J$3:$J$202,MATCH(E83,'Employee Database'!$A$3:$A$202,0))/26,IF(H83="Four-weekly",INDEX('Employee Database'!$J$3:$J$202,MATCH(E83,'Employee Database'!$A$3:$A$202,0))/13,0))))),0)</f>
        <v/>
      </c>
      <c r="J83" s="45" t="n"/>
      <c r="K83" s="45" t="n"/>
      <c r="L83" s="44">
        <f>SUM(I83:K83)</f>
        <v/>
      </c>
      <c r="M83" s="45" t="n"/>
      <c r="N83" s="45" t="n"/>
      <c r="O83" s="44">
        <f>IFERROR(ROUND(L83*INDEX('Employee Database'!$L$3:$L$202,MATCH(E83,'Employee Database'!$A$3:$A$202,0))/100,2),0)</f>
        <v/>
      </c>
      <c r="P83" s="45" t="n"/>
      <c r="Q83" s="44">
        <f>SUM(M83:P83)</f>
        <v/>
      </c>
      <c r="R83" s="44">
        <f>L83-Q83</f>
        <v/>
      </c>
      <c r="S83" s="45" t="n"/>
      <c r="T83" s="44">
        <f>IFERROR(ROUND(L83*INDEX('Employee Database'!$M$3:$M$202,MATCH(E83,'Employee Database'!$A$3:$A$202,0))/100,2),0)</f>
        <v/>
      </c>
      <c r="U83" s="44">
        <f>SUM(L83,S83,T83)</f>
        <v/>
      </c>
      <c r="V83" s="46">
        <f>IF(E83="","",IF(OR(B83="",C83="",D83=""),"Missing period/date",IF(L83&lt;0,"Check gross pay",IF(R83&lt;0,"Deductions exceed gross","Review statutory amounts"))))</f>
        <v/>
      </c>
      <c r="W83" s="42" t="n"/>
      <c r="X83" s="47" t="n"/>
    </row>
    <row r="84">
      <c r="A84" s="42" t="n"/>
      <c r="B84" s="39" t="n"/>
      <c r="C84" s="39" t="n"/>
      <c r="D84" s="39" t="n"/>
      <c r="E84" s="42" t="n"/>
      <c r="F84" s="43">
        <f>IFERROR(INDEX('Employee Database'!$B$3:$B$202,MATCH(E84,'Employee Database'!$A$3:$A$202,0)),"")</f>
        <v/>
      </c>
      <c r="G84" s="43">
        <f>IFERROR(INDEX('Employee Database'!$F$3:$F$202,MATCH(E84,'Employee Database'!$A$3:$A$202,0)),"")</f>
        <v/>
      </c>
      <c r="H84" s="43">
        <f>IFERROR(INDEX('Employee Database'!$I$3:$I$202,MATCH(E84,'Employee Database'!$A$3:$A$202,0)),"")</f>
        <v/>
      </c>
      <c r="I84" s="44">
        <f>IFERROR(IF(H84="Monthly",INDEX('Employee Database'!$J$3:$J$202,MATCH(E84,'Employee Database'!$A$3:$A$202,0))/12,IF(H84="Weekly",INDEX('Employee Database'!$J$3:$J$202,MATCH(E84,'Employee Database'!$A$3:$A$202,0))/52,IF(H84="Fortnightly",INDEX('Employee Database'!$J$3:$J$202,MATCH(E84,'Employee Database'!$A$3:$A$202,0))/26,IF(H84="Four-weekly",INDEX('Employee Database'!$J$3:$J$202,MATCH(E84,'Employee Database'!$A$3:$A$202,0))/13,0))))),0)</f>
        <v/>
      </c>
      <c r="J84" s="45" t="n"/>
      <c r="K84" s="45" t="n"/>
      <c r="L84" s="44">
        <f>SUM(I84:K84)</f>
        <v/>
      </c>
      <c r="M84" s="45" t="n"/>
      <c r="N84" s="45" t="n"/>
      <c r="O84" s="44">
        <f>IFERROR(ROUND(L84*INDEX('Employee Database'!$L$3:$L$202,MATCH(E84,'Employee Database'!$A$3:$A$202,0))/100,2),0)</f>
        <v/>
      </c>
      <c r="P84" s="45" t="n"/>
      <c r="Q84" s="44">
        <f>SUM(M84:P84)</f>
        <v/>
      </c>
      <c r="R84" s="44">
        <f>L84-Q84</f>
        <v/>
      </c>
      <c r="S84" s="45" t="n"/>
      <c r="T84" s="44">
        <f>IFERROR(ROUND(L84*INDEX('Employee Database'!$M$3:$M$202,MATCH(E84,'Employee Database'!$A$3:$A$202,0))/100,2),0)</f>
        <v/>
      </c>
      <c r="U84" s="44">
        <f>SUM(L84,S84,T84)</f>
        <v/>
      </c>
      <c r="V84" s="46">
        <f>IF(E84="","",IF(OR(B84="",C84="",D84=""),"Missing period/date",IF(L84&lt;0,"Check gross pay",IF(R84&lt;0,"Deductions exceed gross","Review statutory amounts"))))</f>
        <v/>
      </c>
      <c r="W84" s="42" t="n"/>
      <c r="X84" s="47" t="n"/>
    </row>
    <row r="85">
      <c r="A85" s="42" t="n"/>
      <c r="B85" s="39" t="n"/>
      <c r="C85" s="39" t="n"/>
      <c r="D85" s="39" t="n"/>
      <c r="E85" s="42" t="n"/>
      <c r="F85" s="43">
        <f>IFERROR(INDEX('Employee Database'!$B$3:$B$202,MATCH(E85,'Employee Database'!$A$3:$A$202,0)),"")</f>
        <v/>
      </c>
      <c r="G85" s="43">
        <f>IFERROR(INDEX('Employee Database'!$F$3:$F$202,MATCH(E85,'Employee Database'!$A$3:$A$202,0)),"")</f>
        <v/>
      </c>
      <c r="H85" s="43">
        <f>IFERROR(INDEX('Employee Database'!$I$3:$I$202,MATCH(E85,'Employee Database'!$A$3:$A$202,0)),"")</f>
        <v/>
      </c>
      <c r="I85" s="44">
        <f>IFERROR(IF(H85="Monthly",INDEX('Employee Database'!$J$3:$J$202,MATCH(E85,'Employee Database'!$A$3:$A$202,0))/12,IF(H85="Weekly",INDEX('Employee Database'!$J$3:$J$202,MATCH(E85,'Employee Database'!$A$3:$A$202,0))/52,IF(H85="Fortnightly",INDEX('Employee Database'!$J$3:$J$202,MATCH(E85,'Employee Database'!$A$3:$A$202,0))/26,IF(H85="Four-weekly",INDEX('Employee Database'!$J$3:$J$202,MATCH(E85,'Employee Database'!$A$3:$A$202,0))/13,0))))),0)</f>
        <v/>
      </c>
      <c r="J85" s="45" t="n"/>
      <c r="K85" s="45" t="n"/>
      <c r="L85" s="44">
        <f>SUM(I85:K85)</f>
        <v/>
      </c>
      <c r="M85" s="45" t="n"/>
      <c r="N85" s="45" t="n"/>
      <c r="O85" s="44">
        <f>IFERROR(ROUND(L85*INDEX('Employee Database'!$L$3:$L$202,MATCH(E85,'Employee Database'!$A$3:$A$202,0))/100,2),0)</f>
        <v/>
      </c>
      <c r="P85" s="45" t="n"/>
      <c r="Q85" s="44">
        <f>SUM(M85:P85)</f>
        <v/>
      </c>
      <c r="R85" s="44">
        <f>L85-Q85</f>
        <v/>
      </c>
      <c r="S85" s="45" t="n"/>
      <c r="T85" s="44">
        <f>IFERROR(ROUND(L85*INDEX('Employee Database'!$M$3:$M$202,MATCH(E85,'Employee Database'!$A$3:$A$202,0))/100,2),0)</f>
        <v/>
      </c>
      <c r="U85" s="44">
        <f>SUM(L85,S85,T85)</f>
        <v/>
      </c>
      <c r="V85" s="46">
        <f>IF(E85="","",IF(OR(B85="",C85="",D85=""),"Missing period/date",IF(L85&lt;0,"Check gross pay",IF(R85&lt;0,"Deductions exceed gross","Review statutory amounts"))))</f>
        <v/>
      </c>
      <c r="W85" s="42" t="n"/>
      <c r="X85" s="47" t="n"/>
    </row>
    <row r="86">
      <c r="A86" s="42" t="n"/>
      <c r="B86" s="39" t="n"/>
      <c r="C86" s="39" t="n"/>
      <c r="D86" s="39" t="n"/>
      <c r="E86" s="42" t="n"/>
      <c r="F86" s="43">
        <f>IFERROR(INDEX('Employee Database'!$B$3:$B$202,MATCH(E86,'Employee Database'!$A$3:$A$202,0)),"")</f>
        <v/>
      </c>
      <c r="G86" s="43">
        <f>IFERROR(INDEX('Employee Database'!$F$3:$F$202,MATCH(E86,'Employee Database'!$A$3:$A$202,0)),"")</f>
        <v/>
      </c>
      <c r="H86" s="43">
        <f>IFERROR(INDEX('Employee Database'!$I$3:$I$202,MATCH(E86,'Employee Database'!$A$3:$A$202,0)),"")</f>
        <v/>
      </c>
      <c r="I86" s="44">
        <f>IFERROR(IF(H86="Monthly",INDEX('Employee Database'!$J$3:$J$202,MATCH(E86,'Employee Database'!$A$3:$A$202,0))/12,IF(H86="Weekly",INDEX('Employee Database'!$J$3:$J$202,MATCH(E86,'Employee Database'!$A$3:$A$202,0))/52,IF(H86="Fortnightly",INDEX('Employee Database'!$J$3:$J$202,MATCH(E86,'Employee Database'!$A$3:$A$202,0))/26,IF(H86="Four-weekly",INDEX('Employee Database'!$J$3:$J$202,MATCH(E86,'Employee Database'!$A$3:$A$202,0))/13,0))))),0)</f>
        <v/>
      </c>
      <c r="J86" s="45" t="n"/>
      <c r="K86" s="45" t="n"/>
      <c r="L86" s="44">
        <f>SUM(I86:K86)</f>
        <v/>
      </c>
      <c r="M86" s="45" t="n"/>
      <c r="N86" s="45" t="n"/>
      <c r="O86" s="44">
        <f>IFERROR(ROUND(L86*INDEX('Employee Database'!$L$3:$L$202,MATCH(E86,'Employee Database'!$A$3:$A$202,0))/100,2),0)</f>
        <v/>
      </c>
      <c r="P86" s="45" t="n"/>
      <c r="Q86" s="44">
        <f>SUM(M86:P86)</f>
        <v/>
      </c>
      <c r="R86" s="44">
        <f>L86-Q86</f>
        <v/>
      </c>
      <c r="S86" s="45" t="n"/>
      <c r="T86" s="44">
        <f>IFERROR(ROUND(L86*INDEX('Employee Database'!$M$3:$M$202,MATCH(E86,'Employee Database'!$A$3:$A$202,0))/100,2),0)</f>
        <v/>
      </c>
      <c r="U86" s="44">
        <f>SUM(L86,S86,T86)</f>
        <v/>
      </c>
      <c r="V86" s="46">
        <f>IF(E86="","",IF(OR(B86="",C86="",D86=""),"Missing period/date",IF(L86&lt;0,"Check gross pay",IF(R86&lt;0,"Deductions exceed gross","Review statutory amounts"))))</f>
        <v/>
      </c>
      <c r="W86" s="42" t="n"/>
      <c r="X86" s="47" t="n"/>
    </row>
    <row r="87">
      <c r="A87" s="42" t="n"/>
      <c r="B87" s="39" t="n"/>
      <c r="C87" s="39" t="n"/>
      <c r="D87" s="39" t="n"/>
      <c r="E87" s="42" t="n"/>
      <c r="F87" s="43">
        <f>IFERROR(INDEX('Employee Database'!$B$3:$B$202,MATCH(E87,'Employee Database'!$A$3:$A$202,0)),"")</f>
        <v/>
      </c>
      <c r="G87" s="43">
        <f>IFERROR(INDEX('Employee Database'!$F$3:$F$202,MATCH(E87,'Employee Database'!$A$3:$A$202,0)),"")</f>
        <v/>
      </c>
      <c r="H87" s="43">
        <f>IFERROR(INDEX('Employee Database'!$I$3:$I$202,MATCH(E87,'Employee Database'!$A$3:$A$202,0)),"")</f>
        <v/>
      </c>
      <c r="I87" s="44">
        <f>IFERROR(IF(H87="Monthly",INDEX('Employee Database'!$J$3:$J$202,MATCH(E87,'Employee Database'!$A$3:$A$202,0))/12,IF(H87="Weekly",INDEX('Employee Database'!$J$3:$J$202,MATCH(E87,'Employee Database'!$A$3:$A$202,0))/52,IF(H87="Fortnightly",INDEX('Employee Database'!$J$3:$J$202,MATCH(E87,'Employee Database'!$A$3:$A$202,0))/26,IF(H87="Four-weekly",INDEX('Employee Database'!$J$3:$J$202,MATCH(E87,'Employee Database'!$A$3:$A$202,0))/13,0))))),0)</f>
        <v/>
      </c>
      <c r="J87" s="45" t="n"/>
      <c r="K87" s="45" t="n"/>
      <c r="L87" s="44">
        <f>SUM(I87:K87)</f>
        <v/>
      </c>
      <c r="M87" s="45" t="n"/>
      <c r="N87" s="45" t="n"/>
      <c r="O87" s="44">
        <f>IFERROR(ROUND(L87*INDEX('Employee Database'!$L$3:$L$202,MATCH(E87,'Employee Database'!$A$3:$A$202,0))/100,2),0)</f>
        <v/>
      </c>
      <c r="P87" s="45" t="n"/>
      <c r="Q87" s="44">
        <f>SUM(M87:P87)</f>
        <v/>
      </c>
      <c r="R87" s="44">
        <f>L87-Q87</f>
        <v/>
      </c>
      <c r="S87" s="45" t="n"/>
      <c r="T87" s="44">
        <f>IFERROR(ROUND(L87*INDEX('Employee Database'!$M$3:$M$202,MATCH(E87,'Employee Database'!$A$3:$A$202,0))/100,2),0)</f>
        <v/>
      </c>
      <c r="U87" s="44">
        <f>SUM(L87,S87,T87)</f>
        <v/>
      </c>
      <c r="V87" s="46">
        <f>IF(E87="","",IF(OR(B87="",C87="",D87=""),"Missing period/date",IF(L87&lt;0,"Check gross pay",IF(R87&lt;0,"Deductions exceed gross","Review statutory amounts"))))</f>
        <v/>
      </c>
      <c r="W87" s="42" t="n"/>
      <c r="X87" s="47" t="n"/>
    </row>
    <row r="88">
      <c r="A88" s="42" t="n"/>
      <c r="B88" s="39" t="n"/>
      <c r="C88" s="39" t="n"/>
      <c r="D88" s="39" t="n"/>
      <c r="E88" s="42" t="n"/>
      <c r="F88" s="43">
        <f>IFERROR(INDEX('Employee Database'!$B$3:$B$202,MATCH(E88,'Employee Database'!$A$3:$A$202,0)),"")</f>
        <v/>
      </c>
      <c r="G88" s="43">
        <f>IFERROR(INDEX('Employee Database'!$F$3:$F$202,MATCH(E88,'Employee Database'!$A$3:$A$202,0)),"")</f>
        <v/>
      </c>
      <c r="H88" s="43">
        <f>IFERROR(INDEX('Employee Database'!$I$3:$I$202,MATCH(E88,'Employee Database'!$A$3:$A$202,0)),"")</f>
        <v/>
      </c>
      <c r="I88" s="44">
        <f>IFERROR(IF(H88="Monthly",INDEX('Employee Database'!$J$3:$J$202,MATCH(E88,'Employee Database'!$A$3:$A$202,0))/12,IF(H88="Weekly",INDEX('Employee Database'!$J$3:$J$202,MATCH(E88,'Employee Database'!$A$3:$A$202,0))/52,IF(H88="Fortnightly",INDEX('Employee Database'!$J$3:$J$202,MATCH(E88,'Employee Database'!$A$3:$A$202,0))/26,IF(H88="Four-weekly",INDEX('Employee Database'!$J$3:$J$202,MATCH(E88,'Employee Database'!$A$3:$A$202,0))/13,0))))),0)</f>
        <v/>
      </c>
      <c r="J88" s="45" t="n"/>
      <c r="K88" s="45" t="n"/>
      <c r="L88" s="44">
        <f>SUM(I88:K88)</f>
        <v/>
      </c>
      <c r="M88" s="45" t="n"/>
      <c r="N88" s="45" t="n"/>
      <c r="O88" s="44">
        <f>IFERROR(ROUND(L88*INDEX('Employee Database'!$L$3:$L$202,MATCH(E88,'Employee Database'!$A$3:$A$202,0))/100,2),0)</f>
        <v/>
      </c>
      <c r="P88" s="45" t="n"/>
      <c r="Q88" s="44">
        <f>SUM(M88:P88)</f>
        <v/>
      </c>
      <c r="R88" s="44">
        <f>L88-Q88</f>
        <v/>
      </c>
      <c r="S88" s="45" t="n"/>
      <c r="T88" s="44">
        <f>IFERROR(ROUND(L88*INDEX('Employee Database'!$M$3:$M$202,MATCH(E88,'Employee Database'!$A$3:$A$202,0))/100,2),0)</f>
        <v/>
      </c>
      <c r="U88" s="44">
        <f>SUM(L88,S88,T88)</f>
        <v/>
      </c>
      <c r="V88" s="46">
        <f>IF(E88="","",IF(OR(B88="",C88="",D88=""),"Missing period/date",IF(L88&lt;0,"Check gross pay",IF(R88&lt;0,"Deductions exceed gross","Review statutory amounts"))))</f>
        <v/>
      </c>
      <c r="W88" s="42" t="n"/>
      <c r="X88" s="47" t="n"/>
    </row>
    <row r="89">
      <c r="A89" s="42" t="n"/>
      <c r="B89" s="39" t="n"/>
      <c r="C89" s="39" t="n"/>
      <c r="D89" s="39" t="n"/>
      <c r="E89" s="42" t="n"/>
      <c r="F89" s="43">
        <f>IFERROR(INDEX('Employee Database'!$B$3:$B$202,MATCH(E89,'Employee Database'!$A$3:$A$202,0)),"")</f>
        <v/>
      </c>
      <c r="G89" s="43">
        <f>IFERROR(INDEX('Employee Database'!$F$3:$F$202,MATCH(E89,'Employee Database'!$A$3:$A$202,0)),"")</f>
        <v/>
      </c>
      <c r="H89" s="43">
        <f>IFERROR(INDEX('Employee Database'!$I$3:$I$202,MATCH(E89,'Employee Database'!$A$3:$A$202,0)),"")</f>
        <v/>
      </c>
      <c r="I89" s="44">
        <f>IFERROR(IF(H89="Monthly",INDEX('Employee Database'!$J$3:$J$202,MATCH(E89,'Employee Database'!$A$3:$A$202,0))/12,IF(H89="Weekly",INDEX('Employee Database'!$J$3:$J$202,MATCH(E89,'Employee Database'!$A$3:$A$202,0))/52,IF(H89="Fortnightly",INDEX('Employee Database'!$J$3:$J$202,MATCH(E89,'Employee Database'!$A$3:$A$202,0))/26,IF(H89="Four-weekly",INDEX('Employee Database'!$J$3:$J$202,MATCH(E89,'Employee Database'!$A$3:$A$202,0))/13,0))))),0)</f>
        <v/>
      </c>
      <c r="J89" s="45" t="n"/>
      <c r="K89" s="45" t="n"/>
      <c r="L89" s="44">
        <f>SUM(I89:K89)</f>
        <v/>
      </c>
      <c r="M89" s="45" t="n"/>
      <c r="N89" s="45" t="n"/>
      <c r="O89" s="44">
        <f>IFERROR(ROUND(L89*INDEX('Employee Database'!$L$3:$L$202,MATCH(E89,'Employee Database'!$A$3:$A$202,0))/100,2),0)</f>
        <v/>
      </c>
      <c r="P89" s="45" t="n"/>
      <c r="Q89" s="44">
        <f>SUM(M89:P89)</f>
        <v/>
      </c>
      <c r="R89" s="44">
        <f>L89-Q89</f>
        <v/>
      </c>
      <c r="S89" s="45" t="n"/>
      <c r="T89" s="44">
        <f>IFERROR(ROUND(L89*INDEX('Employee Database'!$M$3:$M$202,MATCH(E89,'Employee Database'!$A$3:$A$202,0))/100,2),0)</f>
        <v/>
      </c>
      <c r="U89" s="44">
        <f>SUM(L89,S89,T89)</f>
        <v/>
      </c>
      <c r="V89" s="46">
        <f>IF(E89="","",IF(OR(B89="",C89="",D89=""),"Missing period/date",IF(L89&lt;0,"Check gross pay",IF(R89&lt;0,"Deductions exceed gross","Review statutory amounts"))))</f>
        <v/>
      </c>
      <c r="W89" s="42" t="n"/>
      <c r="X89" s="47" t="n"/>
    </row>
    <row r="90">
      <c r="A90" s="42" t="n"/>
      <c r="B90" s="39" t="n"/>
      <c r="C90" s="39" t="n"/>
      <c r="D90" s="39" t="n"/>
      <c r="E90" s="42" t="n"/>
      <c r="F90" s="43">
        <f>IFERROR(INDEX('Employee Database'!$B$3:$B$202,MATCH(E90,'Employee Database'!$A$3:$A$202,0)),"")</f>
        <v/>
      </c>
      <c r="G90" s="43">
        <f>IFERROR(INDEX('Employee Database'!$F$3:$F$202,MATCH(E90,'Employee Database'!$A$3:$A$202,0)),"")</f>
        <v/>
      </c>
      <c r="H90" s="43">
        <f>IFERROR(INDEX('Employee Database'!$I$3:$I$202,MATCH(E90,'Employee Database'!$A$3:$A$202,0)),"")</f>
        <v/>
      </c>
      <c r="I90" s="44">
        <f>IFERROR(IF(H90="Monthly",INDEX('Employee Database'!$J$3:$J$202,MATCH(E90,'Employee Database'!$A$3:$A$202,0))/12,IF(H90="Weekly",INDEX('Employee Database'!$J$3:$J$202,MATCH(E90,'Employee Database'!$A$3:$A$202,0))/52,IF(H90="Fortnightly",INDEX('Employee Database'!$J$3:$J$202,MATCH(E90,'Employee Database'!$A$3:$A$202,0))/26,IF(H90="Four-weekly",INDEX('Employee Database'!$J$3:$J$202,MATCH(E90,'Employee Database'!$A$3:$A$202,0))/13,0))))),0)</f>
        <v/>
      </c>
      <c r="J90" s="45" t="n"/>
      <c r="K90" s="45" t="n"/>
      <c r="L90" s="44">
        <f>SUM(I90:K90)</f>
        <v/>
      </c>
      <c r="M90" s="45" t="n"/>
      <c r="N90" s="45" t="n"/>
      <c r="O90" s="44">
        <f>IFERROR(ROUND(L90*INDEX('Employee Database'!$L$3:$L$202,MATCH(E90,'Employee Database'!$A$3:$A$202,0))/100,2),0)</f>
        <v/>
      </c>
      <c r="P90" s="45" t="n"/>
      <c r="Q90" s="44">
        <f>SUM(M90:P90)</f>
        <v/>
      </c>
      <c r="R90" s="44">
        <f>L90-Q90</f>
        <v/>
      </c>
      <c r="S90" s="45" t="n"/>
      <c r="T90" s="44">
        <f>IFERROR(ROUND(L90*INDEX('Employee Database'!$M$3:$M$202,MATCH(E90,'Employee Database'!$A$3:$A$202,0))/100,2),0)</f>
        <v/>
      </c>
      <c r="U90" s="44">
        <f>SUM(L90,S90,T90)</f>
        <v/>
      </c>
      <c r="V90" s="46">
        <f>IF(E90="","",IF(OR(B90="",C90="",D90=""),"Missing period/date",IF(L90&lt;0,"Check gross pay",IF(R90&lt;0,"Deductions exceed gross","Review statutory amounts"))))</f>
        <v/>
      </c>
      <c r="W90" s="42" t="n"/>
      <c r="X90" s="47" t="n"/>
    </row>
    <row r="91">
      <c r="A91" s="42" t="n"/>
      <c r="B91" s="39" t="n"/>
      <c r="C91" s="39" t="n"/>
      <c r="D91" s="39" t="n"/>
      <c r="E91" s="42" t="n"/>
      <c r="F91" s="43">
        <f>IFERROR(INDEX('Employee Database'!$B$3:$B$202,MATCH(E91,'Employee Database'!$A$3:$A$202,0)),"")</f>
        <v/>
      </c>
      <c r="G91" s="43">
        <f>IFERROR(INDEX('Employee Database'!$F$3:$F$202,MATCH(E91,'Employee Database'!$A$3:$A$202,0)),"")</f>
        <v/>
      </c>
      <c r="H91" s="43">
        <f>IFERROR(INDEX('Employee Database'!$I$3:$I$202,MATCH(E91,'Employee Database'!$A$3:$A$202,0)),"")</f>
        <v/>
      </c>
      <c r="I91" s="44">
        <f>IFERROR(IF(H91="Monthly",INDEX('Employee Database'!$J$3:$J$202,MATCH(E91,'Employee Database'!$A$3:$A$202,0))/12,IF(H91="Weekly",INDEX('Employee Database'!$J$3:$J$202,MATCH(E91,'Employee Database'!$A$3:$A$202,0))/52,IF(H91="Fortnightly",INDEX('Employee Database'!$J$3:$J$202,MATCH(E91,'Employee Database'!$A$3:$A$202,0))/26,IF(H91="Four-weekly",INDEX('Employee Database'!$J$3:$J$202,MATCH(E91,'Employee Database'!$A$3:$A$202,0))/13,0))))),0)</f>
        <v/>
      </c>
      <c r="J91" s="45" t="n"/>
      <c r="K91" s="45" t="n"/>
      <c r="L91" s="44">
        <f>SUM(I91:K91)</f>
        <v/>
      </c>
      <c r="M91" s="45" t="n"/>
      <c r="N91" s="45" t="n"/>
      <c r="O91" s="44">
        <f>IFERROR(ROUND(L91*INDEX('Employee Database'!$L$3:$L$202,MATCH(E91,'Employee Database'!$A$3:$A$202,0))/100,2),0)</f>
        <v/>
      </c>
      <c r="P91" s="45" t="n"/>
      <c r="Q91" s="44">
        <f>SUM(M91:P91)</f>
        <v/>
      </c>
      <c r="R91" s="44">
        <f>L91-Q91</f>
        <v/>
      </c>
      <c r="S91" s="45" t="n"/>
      <c r="T91" s="44">
        <f>IFERROR(ROUND(L91*INDEX('Employee Database'!$M$3:$M$202,MATCH(E91,'Employee Database'!$A$3:$A$202,0))/100,2),0)</f>
        <v/>
      </c>
      <c r="U91" s="44">
        <f>SUM(L91,S91,T91)</f>
        <v/>
      </c>
      <c r="V91" s="46">
        <f>IF(E91="","",IF(OR(B91="",C91="",D91=""),"Missing period/date",IF(L91&lt;0,"Check gross pay",IF(R91&lt;0,"Deductions exceed gross","Review statutory amounts"))))</f>
        <v/>
      </c>
      <c r="W91" s="42" t="n"/>
      <c r="X91" s="47" t="n"/>
    </row>
    <row r="92">
      <c r="A92" s="42" t="n"/>
      <c r="B92" s="39" t="n"/>
      <c r="C92" s="39" t="n"/>
      <c r="D92" s="39" t="n"/>
      <c r="E92" s="42" t="n"/>
      <c r="F92" s="43">
        <f>IFERROR(INDEX('Employee Database'!$B$3:$B$202,MATCH(E92,'Employee Database'!$A$3:$A$202,0)),"")</f>
        <v/>
      </c>
      <c r="G92" s="43">
        <f>IFERROR(INDEX('Employee Database'!$F$3:$F$202,MATCH(E92,'Employee Database'!$A$3:$A$202,0)),"")</f>
        <v/>
      </c>
      <c r="H92" s="43">
        <f>IFERROR(INDEX('Employee Database'!$I$3:$I$202,MATCH(E92,'Employee Database'!$A$3:$A$202,0)),"")</f>
        <v/>
      </c>
      <c r="I92" s="44">
        <f>IFERROR(IF(H92="Monthly",INDEX('Employee Database'!$J$3:$J$202,MATCH(E92,'Employee Database'!$A$3:$A$202,0))/12,IF(H92="Weekly",INDEX('Employee Database'!$J$3:$J$202,MATCH(E92,'Employee Database'!$A$3:$A$202,0))/52,IF(H92="Fortnightly",INDEX('Employee Database'!$J$3:$J$202,MATCH(E92,'Employee Database'!$A$3:$A$202,0))/26,IF(H92="Four-weekly",INDEX('Employee Database'!$J$3:$J$202,MATCH(E92,'Employee Database'!$A$3:$A$202,0))/13,0))))),0)</f>
        <v/>
      </c>
      <c r="J92" s="45" t="n"/>
      <c r="K92" s="45" t="n"/>
      <c r="L92" s="44">
        <f>SUM(I92:K92)</f>
        <v/>
      </c>
      <c r="M92" s="45" t="n"/>
      <c r="N92" s="45" t="n"/>
      <c r="O92" s="44">
        <f>IFERROR(ROUND(L92*INDEX('Employee Database'!$L$3:$L$202,MATCH(E92,'Employee Database'!$A$3:$A$202,0))/100,2),0)</f>
        <v/>
      </c>
      <c r="P92" s="45" t="n"/>
      <c r="Q92" s="44">
        <f>SUM(M92:P92)</f>
        <v/>
      </c>
      <c r="R92" s="44">
        <f>L92-Q92</f>
        <v/>
      </c>
      <c r="S92" s="45" t="n"/>
      <c r="T92" s="44">
        <f>IFERROR(ROUND(L92*INDEX('Employee Database'!$M$3:$M$202,MATCH(E92,'Employee Database'!$A$3:$A$202,0))/100,2),0)</f>
        <v/>
      </c>
      <c r="U92" s="44">
        <f>SUM(L92,S92,T92)</f>
        <v/>
      </c>
      <c r="V92" s="46">
        <f>IF(E92="","",IF(OR(B92="",C92="",D92=""),"Missing period/date",IF(L92&lt;0,"Check gross pay",IF(R92&lt;0,"Deductions exceed gross","Review statutory amounts"))))</f>
        <v/>
      </c>
      <c r="W92" s="42" t="n"/>
      <c r="X92" s="47" t="n"/>
    </row>
    <row r="93">
      <c r="A93" s="42" t="n"/>
      <c r="B93" s="39" t="n"/>
      <c r="C93" s="39" t="n"/>
      <c r="D93" s="39" t="n"/>
      <c r="E93" s="42" t="n"/>
      <c r="F93" s="43">
        <f>IFERROR(INDEX('Employee Database'!$B$3:$B$202,MATCH(E93,'Employee Database'!$A$3:$A$202,0)),"")</f>
        <v/>
      </c>
      <c r="G93" s="43">
        <f>IFERROR(INDEX('Employee Database'!$F$3:$F$202,MATCH(E93,'Employee Database'!$A$3:$A$202,0)),"")</f>
        <v/>
      </c>
      <c r="H93" s="43">
        <f>IFERROR(INDEX('Employee Database'!$I$3:$I$202,MATCH(E93,'Employee Database'!$A$3:$A$202,0)),"")</f>
        <v/>
      </c>
      <c r="I93" s="44">
        <f>IFERROR(IF(H93="Monthly",INDEX('Employee Database'!$J$3:$J$202,MATCH(E93,'Employee Database'!$A$3:$A$202,0))/12,IF(H93="Weekly",INDEX('Employee Database'!$J$3:$J$202,MATCH(E93,'Employee Database'!$A$3:$A$202,0))/52,IF(H93="Fortnightly",INDEX('Employee Database'!$J$3:$J$202,MATCH(E93,'Employee Database'!$A$3:$A$202,0))/26,IF(H93="Four-weekly",INDEX('Employee Database'!$J$3:$J$202,MATCH(E93,'Employee Database'!$A$3:$A$202,0))/13,0))))),0)</f>
        <v/>
      </c>
      <c r="J93" s="45" t="n"/>
      <c r="K93" s="45" t="n"/>
      <c r="L93" s="44">
        <f>SUM(I93:K93)</f>
        <v/>
      </c>
      <c r="M93" s="45" t="n"/>
      <c r="N93" s="45" t="n"/>
      <c r="O93" s="44">
        <f>IFERROR(ROUND(L93*INDEX('Employee Database'!$L$3:$L$202,MATCH(E93,'Employee Database'!$A$3:$A$202,0))/100,2),0)</f>
        <v/>
      </c>
      <c r="P93" s="45" t="n"/>
      <c r="Q93" s="44">
        <f>SUM(M93:P93)</f>
        <v/>
      </c>
      <c r="R93" s="44">
        <f>L93-Q93</f>
        <v/>
      </c>
      <c r="S93" s="45" t="n"/>
      <c r="T93" s="44">
        <f>IFERROR(ROUND(L93*INDEX('Employee Database'!$M$3:$M$202,MATCH(E93,'Employee Database'!$A$3:$A$202,0))/100,2),0)</f>
        <v/>
      </c>
      <c r="U93" s="44">
        <f>SUM(L93,S93,T93)</f>
        <v/>
      </c>
      <c r="V93" s="46">
        <f>IF(E93="","",IF(OR(B93="",C93="",D93=""),"Missing period/date",IF(L93&lt;0,"Check gross pay",IF(R93&lt;0,"Deductions exceed gross","Review statutory amounts"))))</f>
        <v/>
      </c>
      <c r="W93" s="42" t="n"/>
      <c r="X93" s="47" t="n"/>
    </row>
    <row r="94">
      <c r="A94" s="42" t="n"/>
      <c r="B94" s="39" t="n"/>
      <c r="C94" s="39" t="n"/>
      <c r="D94" s="39" t="n"/>
      <c r="E94" s="42" t="n"/>
      <c r="F94" s="43">
        <f>IFERROR(INDEX('Employee Database'!$B$3:$B$202,MATCH(E94,'Employee Database'!$A$3:$A$202,0)),"")</f>
        <v/>
      </c>
      <c r="G94" s="43">
        <f>IFERROR(INDEX('Employee Database'!$F$3:$F$202,MATCH(E94,'Employee Database'!$A$3:$A$202,0)),"")</f>
        <v/>
      </c>
      <c r="H94" s="43">
        <f>IFERROR(INDEX('Employee Database'!$I$3:$I$202,MATCH(E94,'Employee Database'!$A$3:$A$202,0)),"")</f>
        <v/>
      </c>
      <c r="I94" s="44">
        <f>IFERROR(IF(H94="Monthly",INDEX('Employee Database'!$J$3:$J$202,MATCH(E94,'Employee Database'!$A$3:$A$202,0))/12,IF(H94="Weekly",INDEX('Employee Database'!$J$3:$J$202,MATCH(E94,'Employee Database'!$A$3:$A$202,0))/52,IF(H94="Fortnightly",INDEX('Employee Database'!$J$3:$J$202,MATCH(E94,'Employee Database'!$A$3:$A$202,0))/26,IF(H94="Four-weekly",INDEX('Employee Database'!$J$3:$J$202,MATCH(E94,'Employee Database'!$A$3:$A$202,0))/13,0))))),0)</f>
        <v/>
      </c>
      <c r="J94" s="45" t="n"/>
      <c r="K94" s="45" t="n"/>
      <c r="L94" s="44">
        <f>SUM(I94:K94)</f>
        <v/>
      </c>
      <c r="M94" s="45" t="n"/>
      <c r="N94" s="45" t="n"/>
      <c r="O94" s="44">
        <f>IFERROR(ROUND(L94*INDEX('Employee Database'!$L$3:$L$202,MATCH(E94,'Employee Database'!$A$3:$A$202,0))/100,2),0)</f>
        <v/>
      </c>
      <c r="P94" s="45" t="n"/>
      <c r="Q94" s="44">
        <f>SUM(M94:P94)</f>
        <v/>
      </c>
      <c r="R94" s="44">
        <f>L94-Q94</f>
        <v/>
      </c>
      <c r="S94" s="45" t="n"/>
      <c r="T94" s="44">
        <f>IFERROR(ROUND(L94*INDEX('Employee Database'!$M$3:$M$202,MATCH(E94,'Employee Database'!$A$3:$A$202,0))/100,2),0)</f>
        <v/>
      </c>
      <c r="U94" s="44">
        <f>SUM(L94,S94,T94)</f>
        <v/>
      </c>
      <c r="V94" s="46">
        <f>IF(E94="","",IF(OR(B94="",C94="",D94=""),"Missing period/date",IF(L94&lt;0,"Check gross pay",IF(R94&lt;0,"Deductions exceed gross","Review statutory amounts"))))</f>
        <v/>
      </c>
      <c r="W94" s="42" t="n"/>
      <c r="X94" s="47" t="n"/>
    </row>
    <row r="95">
      <c r="A95" s="42" t="n"/>
      <c r="B95" s="39" t="n"/>
      <c r="C95" s="39" t="n"/>
      <c r="D95" s="39" t="n"/>
      <c r="E95" s="42" t="n"/>
      <c r="F95" s="43">
        <f>IFERROR(INDEX('Employee Database'!$B$3:$B$202,MATCH(E95,'Employee Database'!$A$3:$A$202,0)),"")</f>
        <v/>
      </c>
      <c r="G95" s="43">
        <f>IFERROR(INDEX('Employee Database'!$F$3:$F$202,MATCH(E95,'Employee Database'!$A$3:$A$202,0)),"")</f>
        <v/>
      </c>
      <c r="H95" s="43">
        <f>IFERROR(INDEX('Employee Database'!$I$3:$I$202,MATCH(E95,'Employee Database'!$A$3:$A$202,0)),"")</f>
        <v/>
      </c>
      <c r="I95" s="44">
        <f>IFERROR(IF(H95="Monthly",INDEX('Employee Database'!$J$3:$J$202,MATCH(E95,'Employee Database'!$A$3:$A$202,0))/12,IF(H95="Weekly",INDEX('Employee Database'!$J$3:$J$202,MATCH(E95,'Employee Database'!$A$3:$A$202,0))/52,IF(H95="Fortnightly",INDEX('Employee Database'!$J$3:$J$202,MATCH(E95,'Employee Database'!$A$3:$A$202,0))/26,IF(H95="Four-weekly",INDEX('Employee Database'!$J$3:$J$202,MATCH(E95,'Employee Database'!$A$3:$A$202,0))/13,0))))),0)</f>
        <v/>
      </c>
      <c r="J95" s="45" t="n"/>
      <c r="K95" s="45" t="n"/>
      <c r="L95" s="44">
        <f>SUM(I95:K95)</f>
        <v/>
      </c>
      <c r="M95" s="45" t="n"/>
      <c r="N95" s="45" t="n"/>
      <c r="O95" s="44">
        <f>IFERROR(ROUND(L95*INDEX('Employee Database'!$L$3:$L$202,MATCH(E95,'Employee Database'!$A$3:$A$202,0))/100,2),0)</f>
        <v/>
      </c>
      <c r="P95" s="45" t="n"/>
      <c r="Q95" s="44">
        <f>SUM(M95:P95)</f>
        <v/>
      </c>
      <c r="R95" s="44">
        <f>L95-Q95</f>
        <v/>
      </c>
      <c r="S95" s="45" t="n"/>
      <c r="T95" s="44">
        <f>IFERROR(ROUND(L95*INDEX('Employee Database'!$M$3:$M$202,MATCH(E95,'Employee Database'!$A$3:$A$202,0))/100,2),0)</f>
        <v/>
      </c>
      <c r="U95" s="44">
        <f>SUM(L95,S95,T95)</f>
        <v/>
      </c>
      <c r="V95" s="46">
        <f>IF(E95="","",IF(OR(B95="",C95="",D95=""),"Missing period/date",IF(L95&lt;0,"Check gross pay",IF(R95&lt;0,"Deductions exceed gross","Review statutory amounts"))))</f>
        <v/>
      </c>
      <c r="W95" s="42" t="n"/>
      <c r="X95" s="47" t="n"/>
    </row>
    <row r="96">
      <c r="A96" s="42" t="n"/>
      <c r="B96" s="39" t="n"/>
      <c r="C96" s="39" t="n"/>
      <c r="D96" s="39" t="n"/>
      <c r="E96" s="42" t="n"/>
      <c r="F96" s="43">
        <f>IFERROR(INDEX('Employee Database'!$B$3:$B$202,MATCH(E96,'Employee Database'!$A$3:$A$202,0)),"")</f>
        <v/>
      </c>
      <c r="G96" s="43">
        <f>IFERROR(INDEX('Employee Database'!$F$3:$F$202,MATCH(E96,'Employee Database'!$A$3:$A$202,0)),"")</f>
        <v/>
      </c>
      <c r="H96" s="43">
        <f>IFERROR(INDEX('Employee Database'!$I$3:$I$202,MATCH(E96,'Employee Database'!$A$3:$A$202,0)),"")</f>
        <v/>
      </c>
      <c r="I96" s="44">
        <f>IFERROR(IF(H96="Monthly",INDEX('Employee Database'!$J$3:$J$202,MATCH(E96,'Employee Database'!$A$3:$A$202,0))/12,IF(H96="Weekly",INDEX('Employee Database'!$J$3:$J$202,MATCH(E96,'Employee Database'!$A$3:$A$202,0))/52,IF(H96="Fortnightly",INDEX('Employee Database'!$J$3:$J$202,MATCH(E96,'Employee Database'!$A$3:$A$202,0))/26,IF(H96="Four-weekly",INDEX('Employee Database'!$J$3:$J$202,MATCH(E96,'Employee Database'!$A$3:$A$202,0))/13,0))))),0)</f>
        <v/>
      </c>
      <c r="J96" s="45" t="n"/>
      <c r="K96" s="45" t="n"/>
      <c r="L96" s="44">
        <f>SUM(I96:K96)</f>
        <v/>
      </c>
      <c r="M96" s="45" t="n"/>
      <c r="N96" s="45" t="n"/>
      <c r="O96" s="44">
        <f>IFERROR(ROUND(L96*INDEX('Employee Database'!$L$3:$L$202,MATCH(E96,'Employee Database'!$A$3:$A$202,0))/100,2),0)</f>
        <v/>
      </c>
      <c r="P96" s="45" t="n"/>
      <c r="Q96" s="44">
        <f>SUM(M96:P96)</f>
        <v/>
      </c>
      <c r="R96" s="44">
        <f>L96-Q96</f>
        <v/>
      </c>
      <c r="S96" s="45" t="n"/>
      <c r="T96" s="44">
        <f>IFERROR(ROUND(L96*INDEX('Employee Database'!$M$3:$M$202,MATCH(E96,'Employee Database'!$A$3:$A$202,0))/100,2),0)</f>
        <v/>
      </c>
      <c r="U96" s="44">
        <f>SUM(L96,S96,T96)</f>
        <v/>
      </c>
      <c r="V96" s="46">
        <f>IF(E96="","",IF(OR(B96="",C96="",D96=""),"Missing period/date",IF(L96&lt;0,"Check gross pay",IF(R96&lt;0,"Deductions exceed gross","Review statutory amounts"))))</f>
        <v/>
      </c>
      <c r="W96" s="42" t="n"/>
      <c r="X96" s="47" t="n"/>
    </row>
    <row r="97">
      <c r="A97" s="42" t="n"/>
      <c r="B97" s="39" t="n"/>
      <c r="C97" s="39" t="n"/>
      <c r="D97" s="39" t="n"/>
      <c r="E97" s="42" t="n"/>
      <c r="F97" s="43">
        <f>IFERROR(INDEX('Employee Database'!$B$3:$B$202,MATCH(E97,'Employee Database'!$A$3:$A$202,0)),"")</f>
        <v/>
      </c>
      <c r="G97" s="43">
        <f>IFERROR(INDEX('Employee Database'!$F$3:$F$202,MATCH(E97,'Employee Database'!$A$3:$A$202,0)),"")</f>
        <v/>
      </c>
      <c r="H97" s="43">
        <f>IFERROR(INDEX('Employee Database'!$I$3:$I$202,MATCH(E97,'Employee Database'!$A$3:$A$202,0)),"")</f>
        <v/>
      </c>
      <c r="I97" s="44">
        <f>IFERROR(IF(H97="Monthly",INDEX('Employee Database'!$J$3:$J$202,MATCH(E97,'Employee Database'!$A$3:$A$202,0))/12,IF(H97="Weekly",INDEX('Employee Database'!$J$3:$J$202,MATCH(E97,'Employee Database'!$A$3:$A$202,0))/52,IF(H97="Fortnightly",INDEX('Employee Database'!$J$3:$J$202,MATCH(E97,'Employee Database'!$A$3:$A$202,0))/26,IF(H97="Four-weekly",INDEX('Employee Database'!$J$3:$J$202,MATCH(E97,'Employee Database'!$A$3:$A$202,0))/13,0))))),0)</f>
        <v/>
      </c>
      <c r="J97" s="45" t="n"/>
      <c r="K97" s="45" t="n"/>
      <c r="L97" s="44">
        <f>SUM(I97:K97)</f>
        <v/>
      </c>
      <c r="M97" s="45" t="n"/>
      <c r="N97" s="45" t="n"/>
      <c r="O97" s="44">
        <f>IFERROR(ROUND(L97*INDEX('Employee Database'!$L$3:$L$202,MATCH(E97,'Employee Database'!$A$3:$A$202,0))/100,2),0)</f>
        <v/>
      </c>
      <c r="P97" s="45" t="n"/>
      <c r="Q97" s="44">
        <f>SUM(M97:P97)</f>
        <v/>
      </c>
      <c r="R97" s="44">
        <f>L97-Q97</f>
        <v/>
      </c>
      <c r="S97" s="45" t="n"/>
      <c r="T97" s="44">
        <f>IFERROR(ROUND(L97*INDEX('Employee Database'!$M$3:$M$202,MATCH(E97,'Employee Database'!$A$3:$A$202,0))/100,2),0)</f>
        <v/>
      </c>
      <c r="U97" s="44">
        <f>SUM(L97,S97,T97)</f>
        <v/>
      </c>
      <c r="V97" s="46">
        <f>IF(E97="","",IF(OR(B97="",C97="",D97=""),"Missing period/date",IF(L97&lt;0,"Check gross pay",IF(R97&lt;0,"Deductions exceed gross","Review statutory amounts"))))</f>
        <v/>
      </c>
      <c r="W97" s="42" t="n"/>
      <c r="X97" s="47" t="n"/>
    </row>
    <row r="98">
      <c r="A98" s="42" t="n"/>
      <c r="B98" s="39" t="n"/>
      <c r="C98" s="39" t="n"/>
      <c r="D98" s="39" t="n"/>
      <c r="E98" s="42" t="n"/>
      <c r="F98" s="43">
        <f>IFERROR(INDEX('Employee Database'!$B$3:$B$202,MATCH(E98,'Employee Database'!$A$3:$A$202,0)),"")</f>
        <v/>
      </c>
      <c r="G98" s="43">
        <f>IFERROR(INDEX('Employee Database'!$F$3:$F$202,MATCH(E98,'Employee Database'!$A$3:$A$202,0)),"")</f>
        <v/>
      </c>
      <c r="H98" s="43">
        <f>IFERROR(INDEX('Employee Database'!$I$3:$I$202,MATCH(E98,'Employee Database'!$A$3:$A$202,0)),"")</f>
        <v/>
      </c>
      <c r="I98" s="44">
        <f>IFERROR(IF(H98="Monthly",INDEX('Employee Database'!$J$3:$J$202,MATCH(E98,'Employee Database'!$A$3:$A$202,0))/12,IF(H98="Weekly",INDEX('Employee Database'!$J$3:$J$202,MATCH(E98,'Employee Database'!$A$3:$A$202,0))/52,IF(H98="Fortnightly",INDEX('Employee Database'!$J$3:$J$202,MATCH(E98,'Employee Database'!$A$3:$A$202,0))/26,IF(H98="Four-weekly",INDEX('Employee Database'!$J$3:$J$202,MATCH(E98,'Employee Database'!$A$3:$A$202,0))/13,0))))),0)</f>
        <v/>
      </c>
      <c r="J98" s="45" t="n"/>
      <c r="K98" s="45" t="n"/>
      <c r="L98" s="44">
        <f>SUM(I98:K98)</f>
        <v/>
      </c>
      <c r="M98" s="45" t="n"/>
      <c r="N98" s="45" t="n"/>
      <c r="O98" s="44">
        <f>IFERROR(ROUND(L98*INDEX('Employee Database'!$L$3:$L$202,MATCH(E98,'Employee Database'!$A$3:$A$202,0))/100,2),0)</f>
        <v/>
      </c>
      <c r="P98" s="45" t="n"/>
      <c r="Q98" s="44">
        <f>SUM(M98:P98)</f>
        <v/>
      </c>
      <c r="R98" s="44">
        <f>L98-Q98</f>
        <v/>
      </c>
      <c r="S98" s="45" t="n"/>
      <c r="T98" s="44">
        <f>IFERROR(ROUND(L98*INDEX('Employee Database'!$M$3:$M$202,MATCH(E98,'Employee Database'!$A$3:$A$202,0))/100,2),0)</f>
        <v/>
      </c>
      <c r="U98" s="44">
        <f>SUM(L98,S98,T98)</f>
        <v/>
      </c>
      <c r="V98" s="46">
        <f>IF(E98="","",IF(OR(B98="",C98="",D98=""),"Missing period/date",IF(L98&lt;0,"Check gross pay",IF(R98&lt;0,"Deductions exceed gross","Review statutory amounts"))))</f>
        <v/>
      </c>
      <c r="W98" s="42" t="n"/>
      <c r="X98" s="47" t="n"/>
    </row>
    <row r="99">
      <c r="A99" s="42" t="n"/>
      <c r="B99" s="39" t="n"/>
      <c r="C99" s="39" t="n"/>
      <c r="D99" s="39" t="n"/>
      <c r="E99" s="42" t="n"/>
      <c r="F99" s="43">
        <f>IFERROR(INDEX('Employee Database'!$B$3:$B$202,MATCH(E99,'Employee Database'!$A$3:$A$202,0)),"")</f>
        <v/>
      </c>
      <c r="G99" s="43">
        <f>IFERROR(INDEX('Employee Database'!$F$3:$F$202,MATCH(E99,'Employee Database'!$A$3:$A$202,0)),"")</f>
        <v/>
      </c>
      <c r="H99" s="43">
        <f>IFERROR(INDEX('Employee Database'!$I$3:$I$202,MATCH(E99,'Employee Database'!$A$3:$A$202,0)),"")</f>
        <v/>
      </c>
      <c r="I99" s="44">
        <f>IFERROR(IF(H99="Monthly",INDEX('Employee Database'!$J$3:$J$202,MATCH(E99,'Employee Database'!$A$3:$A$202,0))/12,IF(H99="Weekly",INDEX('Employee Database'!$J$3:$J$202,MATCH(E99,'Employee Database'!$A$3:$A$202,0))/52,IF(H99="Fortnightly",INDEX('Employee Database'!$J$3:$J$202,MATCH(E99,'Employee Database'!$A$3:$A$202,0))/26,IF(H99="Four-weekly",INDEX('Employee Database'!$J$3:$J$202,MATCH(E99,'Employee Database'!$A$3:$A$202,0))/13,0))))),0)</f>
        <v/>
      </c>
      <c r="J99" s="45" t="n"/>
      <c r="K99" s="45" t="n"/>
      <c r="L99" s="44">
        <f>SUM(I99:K99)</f>
        <v/>
      </c>
      <c r="M99" s="45" t="n"/>
      <c r="N99" s="45" t="n"/>
      <c r="O99" s="44">
        <f>IFERROR(ROUND(L99*INDEX('Employee Database'!$L$3:$L$202,MATCH(E99,'Employee Database'!$A$3:$A$202,0))/100,2),0)</f>
        <v/>
      </c>
      <c r="P99" s="45" t="n"/>
      <c r="Q99" s="44">
        <f>SUM(M99:P99)</f>
        <v/>
      </c>
      <c r="R99" s="44">
        <f>L99-Q99</f>
        <v/>
      </c>
      <c r="S99" s="45" t="n"/>
      <c r="T99" s="44">
        <f>IFERROR(ROUND(L99*INDEX('Employee Database'!$M$3:$M$202,MATCH(E99,'Employee Database'!$A$3:$A$202,0))/100,2),0)</f>
        <v/>
      </c>
      <c r="U99" s="44">
        <f>SUM(L99,S99,T99)</f>
        <v/>
      </c>
      <c r="V99" s="46">
        <f>IF(E99="","",IF(OR(B99="",C99="",D99=""),"Missing period/date",IF(L99&lt;0,"Check gross pay",IF(R99&lt;0,"Deductions exceed gross","Review statutory amounts"))))</f>
        <v/>
      </c>
      <c r="W99" s="42" t="n"/>
      <c r="X99" s="47" t="n"/>
    </row>
    <row r="100">
      <c r="A100" s="42" t="n"/>
      <c r="B100" s="39" t="n"/>
      <c r="C100" s="39" t="n"/>
      <c r="D100" s="39" t="n"/>
      <c r="E100" s="42" t="n"/>
      <c r="F100" s="43">
        <f>IFERROR(INDEX('Employee Database'!$B$3:$B$202,MATCH(E100,'Employee Database'!$A$3:$A$202,0)),"")</f>
        <v/>
      </c>
      <c r="G100" s="43">
        <f>IFERROR(INDEX('Employee Database'!$F$3:$F$202,MATCH(E100,'Employee Database'!$A$3:$A$202,0)),"")</f>
        <v/>
      </c>
      <c r="H100" s="43">
        <f>IFERROR(INDEX('Employee Database'!$I$3:$I$202,MATCH(E100,'Employee Database'!$A$3:$A$202,0)),"")</f>
        <v/>
      </c>
      <c r="I100" s="44">
        <f>IFERROR(IF(H100="Monthly",INDEX('Employee Database'!$J$3:$J$202,MATCH(E100,'Employee Database'!$A$3:$A$202,0))/12,IF(H100="Weekly",INDEX('Employee Database'!$J$3:$J$202,MATCH(E100,'Employee Database'!$A$3:$A$202,0))/52,IF(H100="Fortnightly",INDEX('Employee Database'!$J$3:$J$202,MATCH(E100,'Employee Database'!$A$3:$A$202,0))/26,IF(H100="Four-weekly",INDEX('Employee Database'!$J$3:$J$202,MATCH(E100,'Employee Database'!$A$3:$A$202,0))/13,0))))),0)</f>
        <v/>
      </c>
      <c r="J100" s="45" t="n"/>
      <c r="K100" s="45" t="n"/>
      <c r="L100" s="44">
        <f>SUM(I100:K100)</f>
        <v/>
      </c>
      <c r="M100" s="45" t="n"/>
      <c r="N100" s="45" t="n"/>
      <c r="O100" s="44">
        <f>IFERROR(ROUND(L100*INDEX('Employee Database'!$L$3:$L$202,MATCH(E100,'Employee Database'!$A$3:$A$202,0))/100,2),0)</f>
        <v/>
      </c>
      <c r="P100" s="45" t="n"/>
      <c r="Q100" s="44">
        <f>SUM(M100:P100)</f>
        <v/>
      </c>
      <c r="R100" s="44">
        <f>L100-Q100</f>
        <v/>
      </c>
      <c r="S100" s="45" t="n"/>
      <c r="T100" s="44">
        <f>IFERROR(ROUND(L100*INDEX('Employee Database'!$M$3:$M$202,MATCH(E100,'Employee Database'!$A$3:$A$202,0))/100,2),0)</f>
        <v/>
      </c>
      <c r="U100" s="44">
        <f>SUM(L100,S100,T100)</f>
        <v/>
      </c>
      <c r="V100" s="46">
        <f>IF(E100="","",IF(OR(B100="",C100="",D100=""),"Missing period/date",IF(L100&lt;0,"Check gross pay",IF(R100&lt;0,"Deductions exceed gross","Review statutory amounts"))))</f>
        <v/>
      </c>
      <c r="W100" s="42" t="n"/>
      <c r="X100" s="47" t="n"/>
    </row>
    <row r="101">
      <c r="A101" s="42" t="n"/>
      <c r="B101" s="39" t="n"/>
      <c r="C101" s="39" t="n"/>
      <c r="D101" s="39" t="n"/>
      <c r="E101" s="42" t="n"/>
      <c r="F101" s="43">
        <f>IFERROR(INDEX('Employee Database'!$B$3:$B$202,MATCH(E101,'Employee Database'!$A$3:$A$202,0)),"")</f>
        <v/>
      </c>
      <c r="G101" s="43">
        <f>IFERROR(INDEX('Employee Database'!$F$3:$F$202,MATCH(E101,'Employee Database'!$A$3:$A$202,0)),"")</f>
        <v/>
      </c>
      <c r="H101" s="43">
        <f>IFERROR(INDEX('Employee Database'!$I$3:$I$202,MATCH(E101,'Employee Database'!$A$3:$A$202,0)),"")</f>
        <v/>
      </c>
      <c r="I101" s="44">
        <f>IFERROR(IF(H101="Monthly",INDEX('Employee Database'!$J$3:$J$202,MATCH(E101,'Employee Database'!$A$3:$A$202,0))/12,IF(H101="Weekly",INDEX('Employee Database'!$J$3:$J$202,MATCH(E101,'Employee Database'!$A$3:$A$202,0))/52,IF(H101="Fortnightly",INDEX('Employee Database'!$J$3:$J$202,MATCH(E101,'Employee Database'!$A$3:$A$202,0))/26,IF(H101="Four-weekly",INDEX('Employee Database'!$J$3:$J$202,MATCH(E101,'Employee Database'!$A$3:$A$202,0))/13,0))))),0)</f>
        <v/>
      </c>
      <c r="J101" s="45" t="n"/>
      <c r="K101" s="45" t="n"/>
      <c r="L101" s="44">
        <f>SUM(I101:K101)</f>
        <v/>
      </c>
      <c r="M101" s="45" t="n"/>
      <c r="N101" s="45" t="n"/>
      <c r="O101" s="44">
        <f>IFERROR(ROUND(L101*INDEX('Employee Database'!$L$3:$L$202,MATCH(E101,'Employee Database'!$A$3:$A$202,0))/100,2),0)</f>
        <v/>
      </c>
      <c r="P101" s="45" t="n"/>
      <c r="Q101" s="44">
        <f>SUM(M101:P101)</f>
        <v/>
      </c>
      <c r="R101" s="44">
        <f>L101-Q101</f>
        <v/>
      </c>
      <c r="S101" s="45" t="n"/>
      <c r="T101" s="44">
        <f>IFERROR(ROUND(L101*INDEX('Employee Database'!$M$3:$M$202,MATCH(E101,'Employee Database'!$A$3:$A$202,0))/100,2),0)</f>
        <v/>
      </c>
      <c r="U101" s="44">
        <f>SUM(L101,S101,T101)</f>
        <v/>
      </c>
      <c r="V101" s="46">
        <f>IF(E101="","",IF(OR(B101="",C101="",D101=""),"Missing period/date",IF(L101&lt;0,"Check gross pay",IF(R101&lt;0,"Deductions exceed gross","Review statutory amounts"))))</f>
        <v/>
      </c>
      <c r="W101" s="42" t="n"/>
      <c r="X101" s="47" t="n"/>
    </row>
    <row r="102">
      <c r="A102" s="42" t="n"/>
      <c r="B102" s="39" t="n"/>
      <c r="C102" s="39" t="n"/>
      <c r="D102" s="39" t="n"/>
      <c r="E102" s="42" t="n"/>
      <c r="F102" s="43">
        <f>IFERROR(INDEX('Employee Database'!$B$3:$B$202,MATCH(E102,'Employee Database'!$A$3:$A$202,0)),"")</f>
        <v/>
      </c>
      <c r="G102" s="43">
        <f>IFERROR(INDEX('Employee Database'!$F$3:$F$202,MATCH(E102,'Employee Database'!$A$3:$A$202,0)),"")</f>
        <v/>
      </c>
      <c r="H102" s="43">
        <f>IFERROR(INDEX('Employee Database'!$I$3:$I$202,MATCH(E102,'Employee Database'!$A$3:$A$202,0)),"")</f>
        <v/>
      </c>
      <c r="I102" s="44">
        <f>IFERROR(IF(H102="Monthly",INDEX('Employee Database'!$J$3:$J$202,MATCH(E102,'Employee Database'!$A$3:$A$202,0))/12,IF(H102="Weekly",INDEX('Employee Database'!$J$3:$J$202,MATCH(E102,'Employee Database'!$A$3:$A$202,0))/52,IF(H102="Fortnightly",INDEX('Employee Database'!$J$3:$J$202,MATCH(E102,'Employee Database'!$A$3:$A$202,0))/26,IF(H102="Four-weekly",INDEX('Employee Database'!$J$3:$J$202,MATCH(E102,'Employee Database'!$A$3:$A$202,0))/13,0))))),0)</f>
        <v/>
      </c>
      <c r="J102" s="45" t="n"/>
      <c r="K102" s="45" t="n"/>
      <c r="L102" s="44">
        <f>SUM(I102:K102)</f>
        <v/>
      </c>
      <c r="M102" s="45" t="n"/>
      <c r="N102" s="45" t="n"/>
      <c r="O102" s="44">
        <f>IFERROR(ROUND(L102*INDEX('Employee Database'!$L$3:$L$202,MATCH(E102,'Employee Database'!$A$3:$A$202,0))/100,2),0)</f>
        <v/>
      </c>
      <c r="P102" s="45" t="n"/>
      <c r="Q102" s="44">
        <f>SUM(M102:P102)</f>
        <v/>
      </c>
      <c r="R102" s="44">
        <f>L102-Q102</f>
        <v/>
      </c>
      <c r="S102" s="45" t="n"/>
      <c r="T102" s="44">
        <f>IFERROR(ROUND(L102*INDEX('Employee Database'!$M$3:$M$202,MATCH(E102,'Employee Database'!$A$3:$A$202,0))/100,2),0)</f>
        <v/>
      </c>
      <c r="U102" s="44">
        <f>SUM(L102,S102,T102)</f>
        <v/>
      </c>
      <c r="V102" s="46">
        <f>IF(E102="","",IF(OR(B102="",C102="",D102=""),"Missing period/date",IF(L102&lt;0,"Check gross pay",IF(R102&lt;0,"Deductions exceed gross","Review statutory amounts"))))</f>
        <v/>
      </c>
      <c r="W102" s="42" t="n"/>
      <c r="X102" s="47" t="n"/>
    </row>
    <row r="103">
      <c r="A103" s="42" t="n"/>
      <c r="B103" s="39" t="n"/>
      <c r="C103" s="39" t="n"/>
      <c r="D103" s="39" t="n"/>
      <c r="E103" s="42" t="n"/>
      <c r="F103" s="43">
        <f>IFERROR(INDEX('Employee Database'!$B$3:$B$202,MATCH(E103,'Employee Database'!$A$3:$A$202,0)),"")</f>
        <v/>
      </c>
      <c r="G103" s="43">
        <f>IFERROR(INDEX('Employee Database'!$F$3:$F$202,MATCH(E103,'Employee Database'!$A$3:$A$202,0)),"")</f>
        <v/>
      </c>
      <c r="H103" s="43">
        <f>IFERROR(INDEX('Employee Database'!$I$3:$I$202,MATCH(E103,'Employee Database'!$A$3:$A$202,0)),"")</f>
        <v/>
      </c>
      <c r="I103" s="44">
        <f>IFERROR(IF(H103="Monthly",INDEX('Employee Database'!$J$3:$J$202,MATCH(E103,'Employee Database'!$A$3:$A$202,0))/12,IF(H103="Weekly",INDEX('Employee Database'!$J$3:$J$202,MATCH(E103,'Employee Database'!$A$3:$A$202,0))/52,IF(H103="Fortnightly",INDEX('Employee Database'!$J$3:$J$202,MATCH(E103,'Employee Database'!$A$3:$A$202,0))/26,IF(H103="Four-weekly",INDEX('Employee Database'!$J$3:$J$202,MATCH(E103,'Employee Database'!$A$3:$A$202,0))/13,0))))),0)</f>
        <v/>
      </c>
      <c r="J103" s="45" t="n"/>
      <c r="K103" s="45" t="n"/>
      <c r="L103" s="44">
        <f>SUM(I103:K103)</f>
        <v/>
      </c>
      <c r="M103" s="45" t="n"/>
      <c r="N103" s="45" t="n"/>
      <c r="O103" s="44">
        <f>IFERROR(ROUND(L103*INDEX('Employee Database'!$L$3:$L$202,MATCH(E103,'Employee Database'!$A$3:$A$202,0))/100,2),0)</f>
        <v/>
      </c>
      <c r="P103" s="45" t="n"/>
      <c r="Q103" s="44">
        <f>SUM(M103:P103)</f>
        <v/>
      </c>
      <c r="R103" s="44">
        <f>L103-Q103</f>
        <v/>
      </c>
      <c r="S103" s="45" t="n"/>
      <c r="T103" s="44">
        <f>IFERROR(ROUND(L103*INDEX('Employee Database'!$M$3:$M$202,MATCH(E103,'Employee Database'!$A$3:$A$202,0))/100,2),0)</f>
        <v/>
      </c>
      <c r="U103" s="44">
        <f>SUM(L103,S103,T103)</f>
        <v/>
      </c>
      <c r="V103" s="46">
        <f>IF(E103="","",IF(OR(B103="",C103="",D103=""),"Missing period/date",IF(L103&lt;0,"Check gross pay",IF(R103&lt;0,"Deductions exceed gross","Review statutory amounts"))))</f>
        <v/>
      </c>
      <c r="W103" s="42" t="n"/>
      <c r="X103" s="47" t="n"/>
    </row>
    <row r="104">
      <c r="A104" s="42" t="n"/>
      <c r="B104" s="39" t="n"/>
      <c r="C104" s="39" t="n"/>
      <c r="D104" s="39" t="n"/>
      <c r="E104" s="42" t="n"/>
      <c r="F104" s="43">
        <f>IFERROR(INDEX('Employee Database'!$B$3:$B$202,MATCH(E104,'Employee Database'!$A$3:$A$202,0)),"")</f>
        <v/>
      </c>
      <c r="G104" s="43">
        <f>IFERROR(INDEX('Employee Database'!$F$3:$F$202,MATCH(E104,'Employee Database'!$A$3:$A$202,0)),"")</f>
        <v/>
      </c>
      <c r="H104" s="43">
        <f>IFERROR(INDEX('Employee Database'!$I$3:$I$202,MATCH(E104,'Employee Database'!$A$3:$A$202,0)),"")</f>
        <v/>
      </c>
      <c r="I104" s="44">
        <f>IFERROR(IF(H104="Monthly",INDEX('Employee Database'!$J$3:$J$202,MATCH(E104,'Employee Database'!$A$3:$A$202,0))/12,IF(H104="Weekly",INDEX('Employee Database'!$J$3:$J$202,MATCH(E104,'Employee Database'!$A$3:$A$202,0))/52,IF(H104="Fortnightly",INDEX('Employee Database'!$J$3:$J$202,MATCH(E104,'Employee Database'!$A$3:$A$202,0))/26,IF(H104="Four-weekly",INDEX('Employee Database'!$J$3:$J$202,MATCH(E104,'Employee Database'!$A$3:$A$202,0))/13,0))))),0)</f>
        <v/>
      </c>
      <c r="J104" s="45" t="n"/>
      <c r="K104" s="45" t="n"/>
      <c r="L104" s="44">
        <f>SUM(I104:K104)</f>
        <v/>
      </c>
      <c r="M104" s="45" t="n"/>
      <c r="N104" s="45" t="n"/>
      <c r="O104" s="44">
        <f>IFERROR(ROUND(L104*INDEX('Employee Database'!$L$3:$L$202,MATCH(E104,'Employee Database'!$A$3:$A$202,0))/100,2),0)</f>
        <v/>
      </c>
      <c r="P104" s="45" t="n"/>
      <c r="Q104" s="44">
        <f>SUM(M104:P104)</f>
        <v/>
      </c>
      <c r="R104" s="44">
        <f>L104-Q104</f>
        <v/>
      </c>
      <c r="S104" s="45" t="n"/>
      <c r="T104" s="44">
        <f>IFERROR(ROUND(L104*INDEX('Employee Database'!$M$3:$M$202,MATCH(E104,'Employee Database'!$A$3:$A$202,0))/100,2),0)</f>
        <v/>
      </c>
      <c r="U104" s="44">
        <f>SUM(L104,S104,T104)</f>
        <v/>
      </c>
      <c r="V104" s="46">
        <f>IF(E104="","",IF(OR(B104="",C104="",D104=""),"Missing period/date",IF(L104&lt;0,"Check gross pay",IF(R104&lt;0,"Deductions exceed gross","Review statutory amounts"))))</f>
        <v/>
      </c>
      <c r="W104" s="42" t="n"/>
      <c r="X104" s="47" t="n"/>
    </row>
    <row r="105">
      <c r="A105" s="42" t="n"/>
      <c r="B105" s="39" t="n"/>
      <c r="C105" s="39" t="n"/>
      <c r="D105" s="39" t="n"/>
      <c r="E105" s="42" t="n"/>
      <c r="F105" s="43">
        <f>IFERROR(INDEX('Employee Database'!$B$3:$B$202,MATCH(E105,'Employee Database'!$A$3:$A$202,0)),"")</f>
        <v/>
      </c>
      <c r="G105" s="43">
        <f>IFERROR(INDEX('Employee Database'!$F$3:$F$202,MATCH(E105,'Employee Database'!$A$3:$A$202,0)),"")</f>
        <v/>
      </c>
      <c r="H105" s="43">
        <f>IFERROR(INDEX('Employee Database'!$I$3:$I$202,MATCH(E105,'Employee Database'!$A$3:$A$202,0)),"")</f>
        <v/>
      </c>
      <c r="I105" s="44">
        <f>IFERROR(IF(H105="Monthly",INDEX('Employee Database'!$J$3:$J$202,MATCH(E105,'Employee Database'!$A$3:$A$202,0))/12,IF(H105="Weekly",INDEX('Employee Database'!$J$3:$J$202,MATCH(E105,'Employee Database'!$A$3:$A$202,0))/52,IF(H105="Fortnightly",INDEX('Employee Database'!$J$3:$J$202,MATCH(E105,'Employee Database'!$A$3:$A$202,0))/26,IF(H105="Four-weekly",INDEX('Employee Database'!$J$3:$J$202,MATCH(E105,'Employee Database'!$A$3:$A$202,0))/13,0))))),0)</f>
        <v/>
      </c>
      <c r="J105" s="45" t="n"/>
      <c r="K105" s="45" t="n"/>
      <c r="L105" s="44">
        <f>SUM(I105:K105)</f>
        <v/>
      </c>
      <c r="M105" s="45" t="n"/>
      <c r="N105" s="45" t="n"/>
      <c r="O105" s="44">
        <f>IFERROR(ROUND(L105*INDEX('Employee Database'!$L$3:$L$202,MATCH(E105,'Employee Database'!$A$3:$A$202,0))/100,2),0)</f>
        <v/>
      </c>
      <c r="P105" s="45" t="n"/>
      <c r="Q105" s="44">
        <f>SUM(M105:P105)</f>
        <v/>
      </c>
      <c r="R105" s="44">
        <f>L105-Q105</f>
        <v/>
      </c>
      <c r="S105" s="45" t="n"/>
      <c r="T105" s="44">
        <f>IFERROR(ROUND(L105*INDEX('Employee Database'!$M$3:$M$202,MATCH(E105,'Employee Database'!$A$3:$A$202,0))/100,2),0)</f>
        <v/>
      </c>
      <c r="U105" s="44">
        <f>SUM(L105,S105,T105)</f>
        <v/>
      </c>
      <c r="V105" s="46">
        <f>IF(E105="","",IF(OR(B105="",C105="",D105=""),"Missing period/date",IF(L105&lt;0,"Check gross pay",IF(R105&lt;0,"Deductions exceed gross","Review statutory amounts"))))</f>
        <v/>
      </c>
      <c r="W105" s="42" t="n"/>
      <c r="X105" s="47" t="n"/>
    </row>
    <row r="106">
      <c r="A106" s="42" t="n"/>
      <c r="B106" s="39" t="n"/>
      <c r="C106" s="39" t="n"/>
      <c r="D106" s="39" t="n"/>
      <c r="E106" s="42" t="n"/>
      <c r="F106" s="43">
        <f>IFERROR(INDEX('Employee Database'!$B$3:$B$202,MATCH(E106,'Employee Database'!$A$3:$A$202,0)),"")</f>
        <v/>
      </c>
      <c r="G106" s="43">
        <f>IFERROR(INDEX('Employee Database'!$F$3:$F$202,MATCH(E106,'Employee Database'!$A$3:$A$202,0)),"")</f>
        <v/>
      </c>
      <c r="H106" s="43">
        <f>IFERROR(INDEX('Employee Database'!$I$3:$I$202,MATCH(E106,'Employee Database'!$A$3:$A$202,0)),"")</f>
        <v/>
      </c>
      <c r="I106" s="44">
        <f>IFERROR(IF(H106="Monthly",INDEX('Employee Database'!$J$3:$J$202,MATCH(E106,'Employee Database'!$A$3:$A$202,0))/12,IF(H106="Weekly",INDEX('Employee Database'!$J$3:$J$202,MATCH(E106,'Employee Database'!$A$3:$A$202,0))/52,IF(H106="Fortnightly",INDEX('Employee Database'!$J$3:$J$202,MATCH(E106,'Employee Database'!$A$3:$A$202,0))/26,IF(H106="Four-weekly",INDEX('Employee Database'!$J$3:$J$202,MATCH(E106,'Employee Database'!$A$3:$A$202,0))/13,0))))),0)</f>
        <v/>
      </c>
      <c r="J106" s="45" t="n"/>
      <c r="K106" s="45" t="n"/>
      <c r="L106" s="44">
        <f>SUM(I106:K106)</f>
        <v/>
      </c>
      <c r="M106" s="45" t="n"/>
      <c r="N106" s="45" t="n"/>
      <c r="O106" s="44">
        <f>IFERROR(ROUND(L106*INDEX('Employee Database'!$L$3:$L$202,MATCH(E106,'Employee Database'!$A$3:$A$202,0))/100,2),0)</f>
        <v/>
      </c>
      <c r="P106" s="45" t="n"/>
      <c r="Q106" s="44">
        <f>SUM(M106:P106)</f>
        <v/>
      </c>
      <c r="R106" s="44">
        <f>L106-Q106</f>
        <v/>
      </c>
      <c r="S106" s="45" t="n"/>
      <c r="T106" s="44">
        <f>IFERROR(ROUND(L106*INDEX('Employee Database'!$M$3:$M$202,MATCH(E106,'Employee Database'!$A$3:$A$202,0))/100,2),0)</f>
        <v/>
      </c>
      <c r="U106" s="44">
        <f>SUM(L106,S106,T106)</f>
        <v/>
      </c>
      <c r="V106" s="46">
        <f>IF(E106="","",IF(OR(B106="",C106="",D106=""),"Missing period/date",IF(L106&lt;0,"Check gross pay",IF(R106&lt;0,"Deductions exceed gross","Review statutory amounts"))))</f>
        <v/>
      </c>
      <c r="W106" s="42" t="n"/>
      <c r="X106" s="47" t="n"/>
    </row>
    <row r="107">
      <c r="A107" s="42" t="n"/>
      <c r="B107" s="39" t="n"/>
      <c r="C107" s="39" t="n"/>
      <c r="D107" s="39" t="n"/>
      <c r="E107" s="42" t="n"/>
      <c r="F107" s="43">
        <f>IFERROR(INDEX('Employee Database'!$B$3:$B$202,MATCH(E107,'Employee Database'!$A$3:$A$202,0)),"")</f>
        <v/>
      </c>
      <c r="G107" s="43">
        <f>IFERROR(INDEX('Employee Database'!$F$3:$F$202,MATCH(E107,'Employee Database'!$A$3:$A$202,0)),"")</f>
        <v/>
      </c>
      <c r="H107" s="43">
        <f>IFERROR(INDEX('Employee Database'!$I$3:$I$202,MATCH(E107,'Employee Database'!$A$3:$A$202,0)),"")</f>
        <v/>
      </c>
      <c r="I107" s="44">
        <f>IFERROR(IF(H107="Monthly",INDEX('Employee Database'!$J$3:$J$202,MATCH(E107,'Employee Database'!$A$3:$A$202,0))/12,IF(H107="Weekly",INDEX('Employee Database'!$J$3:$J$202,MATCH(E107,'Employee Database'!$A$3:$A$202,0))/52,IF(H107="Fortnightly",INDEX('Employee Database'!$J$3:$J$202,MATCH(E107,'Employee Database'!$A$3:$A$202,0))/26,IF(H107="Four-weekly",INDEX('Employee Database'!$J$3:$J$202,MATCH(E107,'Employee Database'!$A$3:$A$202,0))/13,0))))),0)</f>
        <v/>
      </c>
      <c r="J107" s="45" t="n"/>
      <c r="K107" s="45" t="n"/>
      <c r="L107" s="44">
        <f>SUM(I107:K107)</f>
        <v/>
      </c>
      <c r="M107" s="45" t="n"/>
      <c r="N107" s="45" t="n"/>
      <c r="O107" s="44">
        <f>IFERROR(ROUND(L107*INDEX('Employee Database'!$L$3:$L$202,MATCH(E107,'Employee Database'!$A$3:$A$202,0))/100,2),0)</f>
        <v/>
      </c>
      <c r="P107" s="45" t="n"/>
      <c r="Q107" s="44">
        <f>SUM(M107:P107)</f>
        <v/>
      </c>
      <c r="R107" s="44">
        <f>L107-Q107</f>
        <v/>
      </c>
      <c r="S107" s="45" t="n"/>
      <c r="T107" s="44">
        <f>IFERROR(ROUND(L107*INDEX('Employee Database'!$M$3:$M$202,MATCH(E107,'Employee Database'!$A$3:$A$202,0))/100,2),0)</f>
        <v/>
      </c>
      <c r="U107" s="44">
        <f>SUM(L107,S107,T107)</f>
        <v/>
      </c>
      <c r="V107" s="46">
        <f>IF(E107="","",IF(OR(B107="",C107="",D107=""),"Missing period/date",IF(L107&lt;0,"Check gross pay",IF(R107&lt;0,"Deductions exceed gross","Review statutory amounts"))))</f>
        <v/>
      </c>
      <c r="W107" s="42" t="n"/>
      <c r="X107" s="47" t="n"/>
    </row>
    <row r="108">
      <c r="A108" s="42" t="n"/>
      <c r="B108" s="39" t="n"/>
      <c r="C108" s="39" t="n"/>
      <c r="D108" s="39" t="n"/>
      <c r="E108" s="42" t="n"/>
      <c r="F108" s="43">
        <f>IFERROR(INDEX('Employee Database'!$B$3:$B$202,MATCH(E108,'Employee Database'!$A$3:$A$202,0)),"")</f>
        <v/>
      </c>
      <c r="G108" s="43">
        <f>IFERROR(INDEX('Employee Database'!$F$3:$F$202,MATCH(E108,'Employee Database'!$A$3:$A$202,0)),"")</f>
        <v/>
      </c>
      <c r="H108" s="43">
        <f>IFERROR(INDEX('Employee Database'!$I$3:$I$202,MATCH(E108,'Employee Database'!$A$3:$A$202,0)),"")</f>
        <v/>
      </c>
      <c r="I108" s="44">
        <f>IFERROR(IF(H108="Monthly",INDEX('Employee Database'!$J$3:$J$202,MATCH(E108,'Employee Database'!$A$3:$A$202,0))/12,IF(H108="Weekly",INDEX('Employee Database'!$J$3:$J$202,MATCH(E108,'Employee Database'!$A$3:$A$202,0))/52,IF(H108="Fortnightly",INDEX('Employee Database'!$J$3:$J$202,MATCH(E108,'Employee Database'!$A$3:$A$202,0))/26,IF(H108="Four-weekly",INDEX('Employee Database'!$J$3:$J$202,MATCH(E108,'Employee Database'!$A$3:$A$202,0))/13,0))))),0)</f>
        <v/>
      </c>
      <c r="J108" s="45" t="n"/>
      <c r="K108" s="45" t="n"/>
      <c r="L108" s="44">
        <f>SUM(I108:K108)</f>
        <v/>
      </c>
      <c r="M108" s="45" t="n"/>
      <c r="N108" s="45" t="n"/>
      <c r="O108" s="44">
        <f>IFERROR(ROUND(L108*INDEX('Employee Database'!$L$3:$L$202,MATCH(E108,'Employee Database'!$A$3:$A$202,0))/100,2),0)</f>
        <v/>
      </c>
      <c r="P108" s="45" t="n"/>
      <c r="Q108" s="44">
        <f>SUM(M108:P108)</f>
        <v/>
      </c>
      <c r="R108" s="44">
        <f>L108-Q108</f>
        <v/>
      </c>
      <c r="S108" s="45" t="n"/>
      <c r="T108" s="44">
        <f>IFERROR(ROUND(L108*INDEX('Employee Database'!$M$3:$M$202,MATCH(E108,'Employee Database'!$A$3:$A$202,0))/100,2),0)</f>
        <v/>
      </c>
      <c r="U108" s="44">
        <f>SUM(L108,S108,T108)</f>
        <v/>
      </c>
      <c r="V108" s="46">
        <f>IF(E108="","",IF(OR(B108="",C108="",D108=""),"Missing period/date",IF(L108&lt;0,"Check gross pay",IF(R108&lt;0,"Deductions exceed gross","Review statutory amounts"))))</f>
        <v/>
      </c>
      <c r="W108" s="42" t="n"/>
      <c r="X108" s="47" t="n"/>
    </row>
    <row r="109">
      <c r="A109" s="42" t="n"/>
      <c r="B109" s="39" t="n"/>
      <c r="C109" s="39" t="n"/>
      <c r="D109" s="39" t="n"/>
      <c r="E109" s="42" t="n"/>
      <c r="F109" s="43">
        <f>IFERROR(INDEX('Employee Database'!$B$3:$B$202,MATCH(E109,'Employee Database'!$A$3:$A$202,0)),"")</f>
        <v/>
      </c>
      <c r="G109" s="43">
        <f>IFERROR(INDEX('Employee Database'!$F$3:$F$202,MATCH(E109,'Employee Database'!$A$3:$A$202,0)),"")</f>
        <v/>
      </c>
      <c r="H109" s="43">
        <f>IFERROR(INDEX('Employee Database'!$I$3:$I$202,MATCH(E109,'Employee Database'!$A$3:$A$202,0)),"")</f>
        <v/>
      </c>
      <c r="I109" s="44">
        <f>IFERROR(IF(H109="Monthly",INDEX('Employee Database'!$J$3:$J$202,MATCH(E109,'Employee Database'!$A$3:$A$202,0))/12,IF(H109="Weekly",INDEX('Employee Database'!$J$3:$J$202,MATCH(E109,'Employee Database'!$A$3:$A$202,0))/52,IF(H109="Fortnightly",INDEX('Employee Database'!$J$3:$J$202,MATCH(E109,'Employee Database'!$A$3:$A$202,0))/26,IF(H109="Four-weekly",INDEX('Employee Database'!$J$3:$J$202,MATCH(E109,'Employee Database'!$A$3:$A$202,0))/13,0))))),0)</f>
        <v/>
      </c>
      <c r="J109" s="45" t="n"/>
      <c r="K109" s="45" t="n"/>
      <c r="L109" s="44">
        <f>SUM(I109:K109)</f>
        <v/>
      </c>
      <c r="M109" s="45" t="n"/>
      <c r="N109" s="45" t="n"/>
      <c r="O109" s="44">
        <f>IFERROR(ROUND(L109*INDEX('Employee Database'!$L$3:$L$202,MATCH(E109,'Employee Database'!$A$3:$A$202,0))/100,2),0)</f>
        <v/>
      </c>
      <c r="P109" s="45" t="n"/>
      <c r="Q109" s="44">
        <f>SUM(M109:P109)</f>
        <v/>
      </c>
      <c r="R109" s="44">
        <f>L109-Q109</f>
        <v/>
      </c>
      <c r="S109" s="45" t="n"/>
      <c r="T109" s="44">
        <f>IFERROR(ROUND(L109*INDEX('Employee Database'!$M$3:$M$202,MATCH(E109,'Employee Database'!$A$3:$A$202,0))/100,2),0)</f>
        <v/>
      </c>
      <c r="U109" s="44">
        <f>SUM(L109,S109,T109)</f>
        <v/>
      </c>
      <c r="V109" s="46">
        <f>IF(E109="","",IF(OR(B109="",C109="",D109=""),"Missing period/date",IF(L109&lt;0,"Check gross pay",IF(R109&lt;0,"Deductions exceed gross","Review statutory amounts"))))</f>
        <v/>
      </c>
      <c r="W109" s="42" t="n"/>
      <c r="X109" s="47" t="n"/>
    </row>
    <row r="110">
      <c r="A110" s="42" t="n"/>
      <c r="B110" s="39" t="n"/>
      <c r="C110" s="39" t="n"/>
      <c r="D110" s="39" t="n"/>
      <c r="E110" s="42" t="n"/>
      <c r="F110" s="43">
        <f>IFERROR(INDEX('Employee Database'!$B$3:$B$202,MATCH(E110,'Employee Database'!$A$3:$A$202,0)),"")</f>
        <v/>
      </c>
      <c r="G110" s="43">
        <f>IFERROR(INDEX('Employee Database'!$F$3:$F$202,MATCH(E110,'Employee Database'!$A$3:$A$202,0)),"")</f>
        <v/>
      </c>
      <c r="H110" s="43">
        <f>IFERROR(INDEX('Employee Database'!$I$3:$I$202,MATCH(E110,'Employee Database'!$A$3:$A$202,0)),"")</f>
        <v/>
      </c>
      <c r="I110" s="44">
        <f>IFERROR(IF(H110="Monthly",INDEX('Employee Database'!$J$3:$J$202,MATCH(E110,'Employee Database'!$A$3:$A$202,0))/12,IF(H110="Weekly",INDEX('Employee Database'!$J$3:$J$202,MATCH(E110,'Employee Database'!$A$3:$A$202,0))/52,IF(H110="Fortnightly",INDEX('Employee Database'!$J$3:$J$202,MATCH(E110,'Employee Database'!$A$3:$A$202,0))/26,IF(H110="Four-weekly",INDEX('Employee Database'!$J$3:$J$202,MATCH(E110,'Employee Database'!$A$3:$A$202,0))/13,0))))),0)</f>
        <v/>
      </c>
      <c r="J110" s="45" t="n"/>
      <c r="K110" s="45" t="n"/>
      <c r="L110" s="44">
        <f>SUM(I110:K110)</f>
        <v/>
      </c>
      <c r="M110" s="45" t="n"/>
      <c r="N110" s="45" t="n"/>
      <c r="O110" s="44">
        <f>IFERROR(ROUND(L110*INDEX('Employee Database'!$L$3:$L$202,MATCH(E110,'Employee Database'!$A$3:$A$202,0))/100,2),0)</f>
        <v/>
      </c>
      <c r="P110" s="45" t="n"/>
      <c r="Q110" s="44">
        <f>SUM(M110:P110)</f>
        <v/>
      </c>
      <c r="R110" s="44">
        <f>L110-Q110</f>
        <v/>
      </c>
      <c r="S110" s="45" t="n"/>
      <c r="T110" s="44">
        <f>IFERROR(ROUND(L110*INDEX('Employee Database'!$M$3:$M$202,MATCH(E110,'Employee Database'!$A$3:$A$202,0))/100,2),0)</f>
        <v/>
      </c>
      <c r="U110" s="44">
        <f>SUM(L110,S110,T110)</f>
        <v/>
      </c>
      <c r="V110" s="46">
        <f>IF(E110="","",IF(OR(B110="",C110="",D110=""),"Missing period/date",IF(L110&lt;0,"Check gross pay",IF(R110&lt;0,"Deductions exceed gross","Review statutory amounts"))))</f>
        <v/>
      </c>
      <c r="W110" s="42" t="n"/>
      <c r="X110" s="47" t="n"/>
    </row>
    <row r="111">
      <c r="A111" s="42" t="n"/>
      <c r="B111" s="39" t="n"/>
      <c r="C111" s="39" t="n"/>
      <c r="D111" s="39" t="n"/>
      <c r="E111" s="42" t="n"/>
      <c r="F111" s="43">
        <f>IFERROR(INDEX('Employee Database'!$B$3:$B$202,MATCH(E111,'Employee Database'!$A$3:$A$202,0)),"")</f>
        <v/>
      </c>
      <c r="G111" s="43">
        <f>IFERROR(INDEX('Employee Database'!$F$3:$F$202,MATCH(E111,'Employee Database'!$A$3:$A$202,0)),"")</f>
        <v/>
      </c>
      <c r="H111" s="43">
        <f>IFERROR(INDEX('Employee Database'!$I$3:$I$202,MATCH(E111,'Employee Database'!$A$3:$A$202,0)),"")</f>
        <v/>
      </c>
      <c r="I111" s="44">
        <f>IFERROR(IF(H111="Monthly",INDEX('Employee Database'!$J$3:$J$202,MATCH(E111,'Employee Database'!$A$3:$A$202,0))/12,IF(H111="Weekly",INDEX('Employee Database'!$J$3:$J$202,MATCH(E111,'Employee Database'!$A$3:$A$202,0))/52,IF(H111="Fortnightly",INDEX('Employee Database'!$J$3:$J$202,MATCH(E111,'Employee Database'!$A$3:$A$202,0))/26,IF(H111="Four-weekly",INDEX('Employee Database'!$J$3:$J$202,MATCH(E111,'Employee Database'!$A$3:$A$202,0))/13,0))))),0)</f>
        <v/>
      </c>
      <c r="J111" s="45" t="n"/>
      <c r="K111" s="45" t="n"/>
      <c r="L111" s="44">
        <f>SUM(I111:K111)</f>
        <v/>
      </c>
      <c r="M111" s="45" t="n"/>
      <c r="N111" s="45" t="n"/>
      <c r="O111" s="44">
        <f>IFERROR(ROUND(L111*INDEX('Employee Database'!$L$3:$L$202,MATCH(E111,'Employee Database'!$A$3:$A$202,0))/100,2),0)</f>
        <v/>
      </c>
      <c r="P111" s="45" t="n"/>
      <c r="Q111" s="44">
        <f>SUM(M111:P111)</f>
        <v/>
      </c>
      <c r="R111" s="44">
        <f>L111-Q111</f>
        <v/>
      </c>
      <c r="S111" s="45" t="n"/>
      <c r="T111" s="44">
        <f>IFERROR(ROUND(L111*INDEX('Employee Database'!$M$3:$M$202,MATCH(E111,'Employee Database'!$A$3:$A$202,0))/100,2),0)</f>
        <v/>
      </c>
      <c r="U111" s="44">
        <f>SUM(L111,S111,T111)</f>
        <v/>
      </c>
      <c r="V111" s="46">
        <f>IF(E111="","",IF(OR(B111="",C111="",D111=""),"Missing period/date",IF(L111&lt;0,"Check gross pay",IF(R111&lt;0,"Deductions exceed gross","Review statutory amounts"))))</f>
        <v/>
      </c>
      <c r="W111" s="42" t="n"/>
      <c r="X111" s="47" t="n"/>
    </row>
    <row r="112">
      <c r="A112" s="42" t="n"/>
      <c r="B112" s="39" t="n"/>
      <c r="C112" s="39" t="n"/>
      <c r="D112" s="39" t="n"/>
      <c r="E112" s="42" t="n"/>
      <c r="F112" s="43">
        <f>IFERROR(INDEX('Employee Database'!$B$3:$B$202,MATCH(E112,'Employee Database'!$A$3:$A$202,0)),"")</f>
        <v/>
      </c>
      <c r="G112" s="43">
        <f>IFERROR(INDEX('Employee Database'!$F$3:$F$202,MATCH(E112,'Employee Database'!$A$3:$A$202,0)),"")</f>
        <v/>
      </c>
      <c r="H112" s="43">
        <f>IFERROR(INDEX('Employee Database'!$I$3:$I$202,MATCH(E112,'Employee Database'!$A$3:$A$202,0)),"")</f>
        <v/>
      </c>
      <c r="I112" s="44">
        <f>IFERROR(IF(H112="Monthly",INDEX('Employee Database'!$J$3:$J$202,MATCH(E112,'Employee Database'!$A$3:$A$202,0))/12,IF(H112="Weekly",INDEX('Employee Database'!$J$3:$J$202,MATCH(E112,'Employee Database'!$A$3:$A$202,0))/52,IF(H112="Fortnightly",INDEX('Employee Database'!$J$3:$J$202,MATCH(E112,'Employee Database'!$A$3:$A$202,0))/26,IF(H112="Four-weekly",INDEX('Employee Database'!$J$3:$J$202,MATCH(E112,'Employee Database'!$A$3:$A$202,0))/13,0))))),0)</f>
        <v/>
      </c>
      <c r="J112" s="45" t="n"/>
      <c r="K112" s="45" t="n"/>
      <c r="L112" s="44">
        <f>SUM(I112:K112)</f>
        <v/>
      </c>
      <c r="M112" s="45" t="n"/>
      <c r="N112" s="45" t="n"/>
      <c r="O112" s="44">
        <f>IFERROR(ROUND(L112*INDEX('Employee Database'!$L$3:$L$202,MATCH(E112,'Employee Database'!$A$3:$A$202,0))/100,2),0)</f>
        <v/>
      </c>
      <c r="P112" s="45" t="n"/>
      <c r="Q112" s="44">
        <f>SUM(M112:P112)</f>
        <v/>
      </c>
      <c r="R112" s="44">
        <f>L112-Q112</f>
        <v/>
      </c>
      <c r="S112" s="45" t="n"/>
      <c r="T112" s="44">
        <f>IFERROR(ROUND(L112*INDEX('Employee Database'!$M$3:$M$202,MATCH(E112,'Employee Database'!$A$3:$A$202,0))/100,2),0)</f>
        <v/>
      </c>
      <c r="U112" s="44">
        <f>SUM(L112,S112,T112)</f>
        <v/>
      </c>
      <c r="V112" s="46">
        <f>IF(E112="","",IF(OR(B112="",C112="",D112=""),"Missing period/date",IF(L112&lt;0,"Check gross pay",IF(R112&lt;0,"Deductions exceed gross","Review statutory amounts"))))</f>
        <v/>
      </c>
      <c r="W112" s="42" t="n"/>
      <c r="X112" s="47" t="n"/>
    </row>
    <row r="113">
      <c r="A113" s="42" t="n"/>
      <c r="B113" s="39" t="n"/>
      <c r="C113" s="39" t="n"/>
      <c r="D113" s="39" t="n"/>
      <c r="E113" s="42" t="n"/>
      <c r="F113" s="43">
        <f>IFERROR(INDEX('Employee Database'!$B$3:$B$202,MATCH(E113,'Employee Database'!$A$3:$A$202,0)),"")</f>
        <v/>
      </c>
      <c r="G113" s="43">
        <f>IFERROR(INDEX('Employee Database'!$F$3:$F$202,MATCH(E113,'Employee Database'!$A$3:$A$202,0)),"")</f>
        <v/>
      </c>
      <c r="H113" s="43">
        <f>IFERROR(INDEX('Employee Database'!$I$3:$I$202,MATCH(E113,'Employee Database'!$A$3:$A$202,0)),"")</f>
        <v/>
      </c>
      <c r="I113" s="44">
        <f>IFERROR(IF(H113="Monthly",INDEX('Employee Database'!$J$3:$J$202,MATCH(E113,'Employee Database'!$A$3:$A$202,0))/12,IF(H113="Weekly",INDEX('Employee Database'!$J$3:$J$202,MATCH(E113,'Employee Database'!$A$3:$A$202,0))/52,IF(H113="Fortnightly",INDEX('Employee Database'!$J$3:$J$202,MATCH(E113,'Employee Database'!$A$3:$A$202,0))/26,IF(H113="Four-weekly",INDEX('Employee Database'!$J$3:$J$202,MATCH(E113,'Employee Database'!$A$3:$A$202,0))/13,0))))),0)</f>
        <v/>
      </c>
      <c r="J113" s="45" t="n"/>
      <c r="K113" s="45" t="n"/>
      <c r="L113" s="44">
        <f>SUM(I113:K113)</f>
        <v/>
      </c>
      <c r="M113" s="45" t="n"/>
      <c r="N113" s="45" t="n"/>
      <c r="O113" s="44">
        <f>IFERROR(ROUND(L113*INDEX('Employee Database'!$L$3:$L$202,MATCH(E113,'Employee Database'!$A$3:$A$202,0))/100,2),0)</f>
        <v/>
      </c>
      <c r="P113" s="45" t="n"/>
      <c r="Q113" s="44">
        <f>SUM(M113:P113)</f>
        <v/>
      </c>
      <c r="R113" s="44">
        <f>L113-Q113</f>
        <v/>
      </c>
      <c r="S113" s="45" t="n"/>
      <c r="T113" s="44">
        <f>IFERROR(ROUND(L113*INDEX('Employee Database'!$M$3:$M$202,MATCH(E113,'Employee Database'!$A$3:$A$202,0))/100,2),0)</f>
        <v/>
      </c>
      <c r="U113" s="44">
        <f>SUM(L113,S113,T113)</f>
        <v/>
      </c>
      <c r="V113" s="46">
        <f>IF(E113="","",IF(OR(B113="",C113="",D113=""),"Missing period/date",IF(L113&lt;0,"Check gross pay",IF(R113&lt;0,"Deductions exceed gross","Review statutory amounts"))))</f>
        <v/>
      </c>
      <c r="W113" s="42" t="n"/>
      <c r="X113" s="47" t="n"/>
    </row>
    <row r="114">
      <c r="A114" s="42" t="n"/>
      <c r="B114" s="39" t="n"/>
      <c r="C114" s="39" t="n"/>
      <c r="D114" s="39" t="n"/>
      <c r="E114" s="42" t="n"/>
      <c r="F114" s="43">
        <f>IFERROR(INDEX('Employee Database'!$B$3:$B$202,MATCH(E114,'Employee Database'!$A$3:$A$202,0)),"")</f>
        <v/>
      </c>
      <c r="G114" s="43">
        <f>IFERROR(INDEX('Employee Database'!$F$3:$F$202,MATCH(E114,'Employee Database'!$A$3:$A$202,0)),"")</f>
        <v/>
      </c>
      <c r="H114" s="43">
        <f>IFERROR(INDEX('Employee Database'!$I$3:$I$202,MATCH(E114,'Employee Database'!$A$3:$A$202,0)),"")</f>
        <v/>
      </c>
      <c r="I114" s="44">
        <f>IFERROR(IF(H114="Monthly",INDEX('Employee Database'!$J$3:$J$202,MATCH(E114,'Employee Database'!$A$3:$A$202,0))/12,IF(H114="Weekly",INDEX('Employee Database'!$J$3:$J$202,MATCH(E114,'Employee Database'!$A$3:$A$202,0))/52,IF(H114="Fortnightly",INDEX('Employee Database'!$J$3:$J$202,MATCH(E114,'Employee Database'!$A$3:$A$202,0))/26,IF(H114="Four-weekly",INDEX('Employee Database'!$J$3:$J$202,MATCH(E114,'Employee Database'!$A$3:$A$202,0))/13,0))))),0)</f>
        <v/>
      </c>
      <c r="J114" s="45" t="n"/>
      <c r="K114" s="45" t="n"/>
      <c r="L114" s="44">
        <f>SUM(I114:K114)</f>
        <v/>
      </c>
      <c r="M114" s="45" t="n"/>
      <c r="N114" s="45" t="n"/>
      <c r="O114" s="44">
        <f>IFERROR(ROUND(L114*INDEX('Employee Database'!$L$3:$L$202,MATCH(E114,'Employee Database'!$A$3:$A$202,0))/100,2),0)</f>
        <v/>
      </c>
      <c r="P114" s="45" t="n"/>
      <c r="Q114" s="44">
        <f>SUM(M114:P114)</f>
        <v/>
      </c>
      <c r="R114" s="44">
        <f>L114-Q114</f>
        <v/>
      </c>
      <c r="S114" s="45" t="n"/>
      <c r="T114" s="44">
        <f>IFERROR(ROUND(L114*INDEX('Employee Database'!$M$3:$M$202,MATCH(E114,'Employee Database'!$A$3:$A$202,0))/100,2),0)</f>
        <v/>
      </c>
      <c r="U114" s="44">
        <f>SUM(L114,S114,T114)</f>
        <v/>
      </c>
      <c r="V114" s="46">
        <f>IF(E114="","",IF(OR(B114="",C114="",D114=""),"Missing period/date",IF(L114&lt;0,"Check gross pay",IF(R114&lt;0,"Deductions exceed gross","Review statutory amounts"))))</f>
        <v/>
      </c>
      <c r="W114" s="42" t="n"/>
      <c r="X114" s="47" t="n"/>
    </row>
    <row r="115">
      <c r="A115" s="42" t="n"/>
      <c r="B115" s="39" t="n"/>
      <c r="C115" s="39" t="n"/>
      <c r="D115" s="39" t="n"/>
      <c r="E115" s="42" t="n"/>
      <c r="F115" s="43">
        <f>IFERROR(INDEX('Employee Database'!$B$3:$B$202,MATCH(E115,'Employee Database'!$A$3:$A$202,0)),"")</f>
        <v/>
      </c>
      <c r="G115" s="43">
        <f>IFERROR(INDEX('Employee Database'!$F$3:$F$202,MATCH(E115,'Employee Database'!$A$3:$A$202,0)),"")</f>
        <v/>
      </c>
      <c r="H115" s="43">
        <f>IFERROR(INDEX('Employee Database'!$I$3:$I$202,MATCH(E115,'Employee Database'!$A$3:$A$202,0)),"")</f>
        <v/>
      </c>
      <c r="I115" s="44">
        <f>IFERROR(IF(H115="Monthly",INDEX('Employee Database'!$J$3:$J$202,MATCH(E115,'Employee Database'!$A$3:$A$202,0))/12,IF(H115="Weekly",INDEX('Employee Database'!$J$3:$J$202,MATCH(E115,'Employee Database'!$A$3:$A$202,0))/52,IF(H115="Fortnightly",INDEX('Employee Database'!$J$3:$J$202,MATCH(E115,'Employee Database'!$A$3:$A$202,0))/26,IF(H115="Four-weekly",INDEX('Employee Database'!$J$3:$J$202,MATCH(E115,'Employee Database'!$A$3:$A$202,0))/13,0))))),0)</f>
        <v/>
      </c>
      <c r="J115" s="45" t="n"/>
      <c r="K115" s="45" t="n"/>
      <c r="L115" s="44">
        <f>SUM(I115:K115)</f>
        <v/>
      </c>
      <c r="M115" s="45" t="n"/>
      <c r="N115" s="45" t="n"/>
      <c r="O115" s="44">
        <f>IFERROR(ROUND(L115*INDEX('Employee Database'!$L$3:$L$202,MATCH(E115,'Employee Database'!$A$3:$A$202,0))/100,2),0)</f>
        <v/>
      </c>
      <c r="P115" s="45" t="n"/>
      <c r="Q115" s="44">
        <f>SUM(M115:P115)</f>
        <v/>
      </c>
      <c r="R115" s="44">
        <f>L115-Q115</f>
        <v/>
      </c>
      <c r="S115" s="45" t="n"/>
      <c r="T115" s="44">
        <f>IFERROR(ROUND(L115*INDEX('Employee Database'!$M$3:$M$202,MATCH(E115,'Employee Database'!$A$3:$A$202,0))/100,2),0)</f>
        <v/>
      </c>
      <c r="U115" s="44">
        <f>SUM(L115,S115,T115)</f>
        <v/>
      </c>
      <c r="V115" s="46">
        <f>IF(E115="","",IF(OR(B115="",C115="",D115=""),"Missing period/date",IF(L115&lt;0,"Check gross pay",IF(R115&lt;0,"Deductions exceed gross","Review statutory amounts"))))</f>
        <v/>
      </c>
      <c r="W115" s="42" t="n"/>
      <c r="X115" s="47" t="n"/>
    </row>
    <row r="116">
      <c r="A116" s="42" t="n"/>
      <c r="B116" s="39" t="n"/>
      <c r="C116" s="39" t="n"/>
      <c r="D116" s="39" t="n"/>
      <c r="E116" s="42" t="n"/>
      <c r="F116" s="43">
        <f>IFERROR(INDEX('Employee Database'!$B$3:$B$202,MATCH(E116,'Employee Database'!$A$3:$A$202,0)),"")</f>
        <v/>
      </c>
      <c r="G116" s="43">
        <f>IFERROR(INDEX('Employee Database'!$F$3:$F$202,MATCH(E116,'Employee Database'!$A$3:$A$202,0)),"")</f>
        <v/>
      </c>
      <c r="H116" s="43">
        <f>IFERROR(INDEX('Employee Database'!$I$3:$I$202,MATCH(E116,'Employee Database'!$A$3:$A$202,0)),"")</f>
        <v/>
      </c>
      <c r="I116" s="44">
        <f>IFERROR(IF(H116="Monthly",INDEX('Employee Database'!$J$3:$J$202,MATCH(E116,'Employee Database'!$A$3:$A$202,0))/12,IF(H116="Weekly",INDEX('Employee Database'!$J$3:$J$202,MATCH(E116,'Employee Database'!$A$3:$A$202,0))/52,IF(H116="Fortnightly",INDEX('Employee Database'!$J$3:$J$202,MATCH(E116,'Employee Database'!$A$3:$A$202,0))/26,IF(H116="Four-weekly",INDEX('Employee Database'!$J$3:$J$202,MATCH(E116,'Employee Database'!$A$3:$A$202,0))/13,0))))),0)</f>
        <v/>
      </c>
      <c r="J116" s="45" t="n"/>
      <c r="K116" s="45" t="n"/>
      <c r="L116" s="44">
        <f>SUM(I116:K116)</f>
        <v/>
      </c>
      <c r="M116" s="45" t="n"/>
      <c r="N116" s="45" t="n"/>
      <c r="O116" s="44">
        <f>IFERROR(ROUND(L116*INDEX('Employee Database'!$L$3:$L$202,MATCH(E116,'Employee Database'!$A$3:$A$202,0))/100,2),0)</f>
        <v/>
      </c>
      <c r="P116" s="45" t="n"/>
      <c r="Q116" s="44">
        <f>SUM(M116:P116)</f>
        <v/>
      </c>
      <c r="R116" s="44">
        <f>L116-Q116</f>
        <v/>
      </c>
      <c r="S116" s="45" t="n"/>
      <c r="T116" s="44">
        <f>IFERROR(ROUND(L116*INDEX('Employee Database'!$M$3:$M$202,MATCH(E116,'Employee Database'!$A$3:$A$202,0))/100,2),0)</f>
        <v/>
      </c>
      <c r="U116" s="44">
        <f>SUM(L116,S116,T116)</f>
        <v/>
      </c>
      <c r="V116" s="46">
        <f>IF(E116="","",IF(OR(B116="",C116="",D116=""),"Missing period/date",IF(L116&lt;0,"Check gross pay",IF(R116&lt;0,"Deductions exceed gross","Review statutory amounts"))))</f>
        <v/>
      </c>
      <c r="W116" s="42" t="n"/>
      <c r="X116" s="47" t="n"/>
    </row>
    <row r="117">
      <c r="A117" s="42" t="n"/>
      <c r="B117" s="39" t="n"/>
      <c r="C117" s="39" t="n"/>
      <c r="D117" s="39" t="n"/>
      <c r="E117" s="42" t="n"/>
      <c r="F117" s="43">
        <f>IFERROR(INDEX('Employee Database'!$B$3:$B$202,MATCH(E117,'Employee Database'!$A$3:$A$202,0)),"")</f>
        <v/>
      </c>
      <c r="G117" s="43">
        <f>IFERROR(INDEX('Employee Database'!$F$3:$F$202,MATCH(E117,'Employee Database'!$A$3:$A$202,0)),"")</f>
        <v/>
      </c>
      <c r="H117" s="43">
        <f>IFERROR(INDEX('Employee Database'!$I$3:$I$202,MATCH(E117,'Employee Database'!$A$3:$A$202,0)),"")</f>
        <v/>
      </c>
      <c r="I117" s="44">
        <f>IFERROR(IF(H117="Monthly",INDEX('Employee Database'!$J$3:$J$202,MATCH(E117,'Employee Database'!$A$3:$A$202,0))/12,IF(H117="Weekly",INDEX('Employee Database'!$J$3:$J$202,MATCH(E117,'Employee Database'!$A$3:$A$202,0))/52,IF(H117="Fortnightly",INDEX('Employee Database'!$J$3:$J$202,MATCH(E117,'Employee Database'!$A$3:$A$202,0))/26,IF(H117="Four-weekly",INDEX('Employee Database'!$J$3:$J$202,MATCH(E117,'Employee Database'!$A$3:$A$202,0))/13,0))))),0)</f>
        <v/>
      </c>
      <c r="J117" s="45" t="n"/>
      <c r="K117" s="45" t="n"/>
      <c r="L117" s="44">
        <f>SUM(I117:K117)</f>
        <v/>
      </c>
      <c r="M117" s="45" t="n"/>
      <c r="N117" s="45" t="n"/>
      <c r="O117" s="44">
        <f>IFERROR(ROUND(L117*INDEX('Employee Database'!$L$3:$L$202,MATCH(E117,'Employee Database'!$A$3:$A$202,0))/100,2),0)</f>
        <v/>
      </c>
      <c r="P117" s="45" t="n"/>
      <c r="Q117" s="44">
        <f>SUM(M117:P117)</f>
        <v/>
      </c>
      <c r="R117" s="44">
        <f>L117-Q117</f>
        <v/>
      </c>
      <c r="S117" s="45" t="n"/>
      <c r="T117" s="44">
        <f>IFERROR(ROUND(L117*INDEX('Employee Database'!$M$3:$M$202,MATCH(E117,'Employee Database'!$A$3:$A$202,0))/100,2),0)</f>
        <v/>
      </c>
      <c r="U117" s="44">
        <f>SUM(L117,S117,T117)</f>
        <v/>
      </c>
      <c r="V117" s="46">
        <f>IF(E117="","",IF(OR(B117="",C117="",D117=""),"Missing period/date",IF(L117&lt;0,"Check gross pay",IF(R117&lt;0,"Deductions exceed gross","Review statutory amounts"))))</f>
        <v/>
      </c>
      <c r="W117" s="42" t="n"/>
      <c r="X117" s="47" t="n"/>
    </row>
    <row r="118">
      <c r="A118" s="42" t="n"/>
      <c r="B118" s="39" t="n"/>
      <c r="C118" s="39" t="n"/>
      <c r="D118" s="39" t="n"/>
      <c r="E118" s="42" t="n"/>
      <c r="F118" s="43">
        <f>IFERROR(INDEX('Employee Database'!$B$3:$B$202,MATCH(E118,'Employee Database'!$A$3:$A$202,0)),"")</f>
        <v/>
      </c>
      <c r="G118" s="43">
        <f>IFERROR(INDEX('Employee Database'!$F$3:$F$202,MATCH(E118,'Employee Database'!$A$3:$A$202,0)),"")</f>
        <v/>
      </c>
      <c r="H118" s="43">
        <f>IFERROR(INDEX('Employee Database'!$I$3:$I$202,MATCH(E118,'Employee Database'!$A$3:$A$202,0)),"")</f>
        <v/>
      </c>
      <c r="I118" s="44">
        <f>IFERROR(IF(H118="Monthly",INDEX('Employee Database'!$J$3:$J$202,MATCH(E118,'Employee Database'!$A$3:$A$202,0))/12,IF(H118="Weekly",INDEX('Employee Database'!$J$3:$J$202,MATCH(E118,'Employee Database'!$A$3:$A$202,0))/52,IF(H118="Fortnightly",INDEX('Employee Database'!$J$3:$J$202,MATCH(E118,'Employee Database'!$A$3:$A$202,0))/26,IF(H118="Four-weekly",INDEX('Employee Database'!$J$3:$J$202,MATCH(E118,'Employee Database'!$A$3:$A$202,0))/13,0))))),0)</f>
        <v/>
      </c>
      <c r="J118" s="45" t="n"/>
      <c r="K118" s="45" t="n"/>
      <c r="L118" s="44">
        <f>SUM(I118:K118)</f>
        <v/>
      </c>
      <c r="M118" s="45" t="n"/>
      <c r="N118" s="45" t="n"/>
      <c r="O118" s="44">
        <f>IFERROR(ROUND(L118*INDEX('Employee Database'!$L$3:$L$202,MATCH(E118,'Employee Database'!$A$3:$A$202,0))/100,2),0)</f>
        <v/>
      </c>
      <c r="P118" s="45" t="n"/>
      <c r="Q118" s="44">
        <f>SUM(M118:P118)</f>
        <v/>
      </c>
      <c r="R118" s="44">
        <f>L118-Q118</f>
        <v/>
      </c>
      <c r="S118" s="45" t="n"/>
      <c r="T118" s="44">
        <f>IFERROR(ROUND(L118*INDEX('Employee Database'!$M$3:$M$202,MATCH(E118,'Employee Database'!$A$3:$A$202,0))/100,2),0)</f>
        <v/>
      </c>
      <c r="U118" s="44">
        <f>SUM(L118,S118,T118)</f>
        <v/>
      </c>
      <c r="V118" s="46">
        <f>IF(E118="","",IF(OR(B118="",C118="",D118=""),"Missing period/date",IF(L118&lt;0,"Check gross pay",IF(R118&lt;0,"Deductions exceed gross","Review statutory amounts"))))</f>
        <v/>
      </c>
      <c r="W118" s="42" t="n"/>
      <c r="X118" s="47" t="n"/>
    </row>
    <row r="119">
      <c r="A119" s="42" t="n"/>
      <c r="B119" s="39" t="n"/>
      <c r="C119" s="39" t="n"/>
      <c r="D119" s="39" t="n"/>
      <c r="E119" s="42" t="n"/>
      <c r="F119" s="43">
        <f>IFERROR(INDEX('Employee Database'!$B$3:$B$202,MATCH(E119,'Employee Database'!$A$3:$A$202,0)),"")</f>
        <v/>
      </c>
      <c r="G119" s="43">
        <f>IFERROR(INDEX('Employee Database'!$F$3:$F$202,MATCH(E119,'Employee Database'!$A$3:$A$202,0)),"")</f>
        <v/>
      </c>
      <c r="H119" s="43">
        <f>IFERROR(INDEX('Employee Database'!$I$3:$I$202,MATCH(E119,'Employee Database'!$A$3:$A$202,0)),"")</f>
        <v/>
      </c>
      <c r="I119" s="44">
        <f>IFERROR(IF(H119="Monthly",INDEX('Employee Database'!$J$3:$J$202,MATCH(E119,'Employee Database'!$A$3:$A$202,0))/12,IF(H119="Weekly",INDEX('Employee Database'!$J$3:$J$202,MATCH(E119,'Employee Database'!$A$3:$A$202,0))/52,IF(H119="Fortnightly",INDEX('Employee Database'!$J$3:$J$202,MATCH(E119,'Employee Database'!$A$3:$A$202,0))/26,IF(H119="Four-weekly",INDEX('Employee Database'!$J$3:$J$202,MATCH(E119,'Employee Database'!$A$3:$A$202,0))/13,0))))),0)</f>
        <v/>
      </c>
      <c r="J119" s="45" t="n"/>
      <c r="K119" s="45" t="n"/>
      <c r="L119" s="44">
        <f>SUM(I119:K119)</f>
        <v/>
      </c>
      <c r="M119" s="45" t="n"/>
      <c r="N119" s="45" t="n"/>
      <c r="O119" s="44">
        <f>IFERROR(ROUND(L119*INDEX('Employee Database'!$L$3:$L$202,MATCH(E119,'Employee Database'!$A$3:$A$202,0))/100,2),0)</f>
        <v/>
      </c>
      <c r="P119" s="45" t="n"/>
      <c r="Q119" s="44">
        <f>SUM(M119:P119)</f>
        <v/>
      </c>
      <c r="R119" s="44">
        <f>L119-Q119</f>
        <v/>
      </c>
      <c r="S119" s="45" t="n"/>
      <c r="T119" s="44">
        <f>IFERROR(ROUND(L119*INDEX('Employee Database'!$M$3:$M$202,MATCH(E119,'Employee Database'!$A$3:$A$202,0))/100,2),0)</f>
        <v/>
      </c>
      <c r="U119" s="44">
        <f>SUM(L119,S119,T119)</f>
        <v/>
      </c>
      <c r="V119" s="46">
        <f>IF(E119="","",IF(OR(B119="",C119="",D119=""),"Missing period/date",IF(L119&lt;0,"Check gross pay",IF(R119&lt;0,"Deductions exceed gross","Review statutory amounts"))))</f>
        <v/>
      </c>
      <c r="W119" s="42" t="n"/>
      <c r="X119" s="47" t="n"/>
    </row>
    <row r="120">
      <c r="A120" s="42" t="n"/>
      <c r="B120" s="39" t="n"/>
      <c r="C120" s="39" t="n"/>
      <c r="D120" s="39" t="n"/>
      <c r="E120" s="42" t="n"/>
      <c r="F120" s="43">
        <f>IFERROR(INDEX('Employee Database'!$B$3:$B$202,MATCH(E120,'Employee Database'!$A$3:$A$202,0)),"")</f>
        <v/>
      </c>
      <c r="G120" s="43">
        <f>IFERROR(INDEX('Employee Database'!$F$3:$F$202,MATCH(E120,'Employee Database'!$A$3:$A$202,0)),"")</f>
        <v/>
      </c>
      <c r="H120" s="43">
        <f>IFERROR(INDEX('Employee Database'!$I$3:$I$202,MATCH(E120,'Employee Database'!$A$3:$A$202,0)),"")</f>
        <v/>
      </c>
      <c r="I120" s="44">
        <f>IFERROR(IF(H120="Monthly",INDEX('Employee Database'!$J$3:$J$202,MATCH(E120,'Employee Database'!$A$3:$A$202,0))/12,IF(H120="Weekly",INDEX('Employee Database'!$J$3:$J$202,MATCH(E120,'Employee Database'!$A$3:$A$202,0))/52,IF(H120="Fortnightly",INDEX('Employee Database'!$J$3:$J$202,MATCH(E120,'Employee Database'!$A$3:$A$202,0))/26,IF(H120="Four-weekly",INDEX('Employee Database'!$J$3:$J$202,MATCH(E120,'Employee Database'!$A$3:$A$202,0))/13,0))))),0)</f>
        <v/>
      </c>
      <c r="J120" s="45" t="n"/>
      <c r="K120" s="45" t="n"/>
      <c r="L120" s="44">
        <f>SUM(I120:K120)</f>
        <v/>
      </c>
      <c r="M120" s="45" t="n"/>
      <c r="N120" s="45" t="n"/>
      <c r="O120" s="44">
        <f>IFERROR(ROUND(L120*INDEX('Employee Database'!$L$3:$L$202,MATCH(E120,'Employee Database'!$A$3:$A$202,0))/100,2),0)</f>
        <v/>
      </c>
      <c r="P120" s="45" t="n"/>
      <c r="Q120" s="44">
        <f>SUM(M120:P120)</f>
        <v/>
      </c>
      <c r="R120" s="44">
        <f>L120-Q120</f>
        <v/>
      </c>
      <c r="S120" s="45" t="n"/>
      <c r="T120" s="44">
        <f>IFERROR(ROUND(L120*INDEX('Employee Database'!$M$3:$M$202,MATCH(E120,'Employee Database'!$A$3:$A$202,0))/100,2),0)</f>
        <v/>
      </c>
      <c r="U120" s="44">
        <f>SUM(L120,S120,T120)</f>
        <v/>
      </c>
      <c r="V120" s="46">
        <f>IF(E120="","",IF(OR(B120="",C120="",D120=""),"Missing period/date",IF(L120&lt;0,"Check gross pay",IF(R120&lt;0,"Deductions exceed gross","Review statutory amounts"))))</f>
        <v/>
      </c>
      <c r="W120" s="42" t="n"/>
      <c r="X120" s="47" t="n"/>
    </row>
    <row r="121">
      <c r="A121" s="42" t="n"/>
      <c r="B121" s="39" t="n"/>
      <c r="C121" s="39" t="n"/>
      <c r="D121" s="39" t="n"/>
      <c r="E121" s="42" t="n"/>
      <c r="F121" s="43">
        <f>IFERROR(INDEX('Employee Database'!$B$3:$B$202,MATCH(E121,'Employee Database'!$A$3:$A$202,0)),"")</f>
        <v/>
      </c>
      <c r="G121" s="43">
        <f>IFERROR(INDEX('Employee Database'!$F$3:$F$202,MATCH(E121,'Employee Database'!$A$3:$A$202,0)),"")</f>
        <v/>
      </c>
      <c r="H121" s="43">
        <f>IFERROR(INDEX('Employee Database'!$I$3:$I$202,MATCH(E121,'Employee Database'!$A$3:$A$202,0)),"")</f>
        <v/>
      </c>
      <c r="I121" s="44">
        <f>IFERROR(IF(H121="Monthly",INDEX('Employee Database'!$J$3:$J$202,MATCH(E121,'Employee Database'!$A$3:$A$202,0))/12,IF(H121="Weekly",INDEX('Employee Database'!$J$3:$J$202,MATCH(E121,'Employee Database'!$A$3:$A$202,0))/52,IF(H121="Fortnightly",INDEX('Employee Database'!$J$3:$J$202,MATCH(E121,'Employee Database'!$A$3:$A$202,0))/26,IF(H121="Four-weekly",INDEX('Employee Database'!$J$3:$J$202,MATCH(E121,'Employee Database'!$A$3:$A$202,0))/13,0))))),0)</f>
        <v/>
      </c>
      <c r="J121" s="45" t="n"/>
      <c r="K121" s="45" t="n"/>
      <c r="L121" s="44">
        <f>SUM(I121:K121)</f>
        <v/>
      </c>
      <c r="M121" s="45" t="n"/>
      <c r="N121" s="45" t="n"/>
      <c r="O121" s="44">
        <f>IFERROR(ROUND(L121*INDEX('Employee Database'!$L$3:$L$202,MATCH(E121,'Employee Database'!$A$3:$A$202,0))/100,2),0)</f>
        <v/>
      </c>
      <c r="P121" s="45" t="n"/>
      <c r="Q121" s="44">
        <f>SUM(M121:P121)</f>
        <v/>
      </c>
      <c r="R121" s="44">
        <f>L121-Q121</f>
        <v/>
      </c>
      <c r="S121" s="45" t="n"/>
      <c r="T121" s="44">
        <f>IFERROR(ROUND(L121*INDEX('Employee Database'!$M$3:$M$202,MATCH(E121,'Employee Database'!$A$3:$A$202,0))/100,2),0)</f>
        <v/>
      </c>
      <c r="U121" s="44">
        <f>SUM(L121,S121,T121)</f>
        <v/>
      </c>
      <c r="V121" s="46">
        <f>IF(E121="","",IF(OR(B121="",C121="",D121=""),"Missing period/date",IF(L121&lt;0,"Check gross pay",IF(R121&lt;0,"Deductions exceed gross","Review statutory amounts"))))</f>
        <v/>
      </c>
      <c r="W121" s="42" t="n"/>
      <c r="X121" s="47" t="n"/>
    </row>
    <row r="122">
      <c r="A122" s="42" t="n"/>
      <c r="B122" s="39" t="n"/>
      <c r="C122" s="39" t="n"/>
      <c r="D122" s="39" t="n"/>
      <c r="E122" s="42" t="n"/>
      <c r="F122" s="43">
        <f>IFERROR(INDEX('Employee Database'!$B$3:$B$202,MATCH(E122,'Employee Database'!$A$3:$A$202,0)),"")</f>
        <v/>
      </c>
      <c r="G122" s="43">
        <f>IFERROR(INDEX('Employee Database'!$F$3:$F$202,MATCH(E122,'Employee Database'!$A$3:$A$202,0)),"")</f>
        <v/>
      </c>
      <c r="H122" s="43">
        <f>IFERROR(INDEX('Employee Database'!$I$3:$I$202,MATCH(E122,'Employee Database'!$A$3:$A$202,0)),"")</f>
        <v/>
      </c>
      <c r="I122" s="44">
        <f>IFERROR(IF(H122="Monthly",INDEX('Employee Database'!$J$3:$J$202,MATCH(E122,'Employee Database'!$A$3:$A$202,0))/12,IF(H122="Weekly",INDEX('Employee Database'!$J$3:$J$202,MATCH(E122,'Employee Database'!$A$3:$A$202,0))/52,IF(H122="Fortnightly",INDEX('Employee Database'!$J$3:$J$202,MATCH(E122,'Employee Database'!$A$3:$A$202,0))/26,IF(H122="Four-weekly",INDEX('Employee Database'!$J$3:$J$202,MATCH(E122,'Employee Database'!$A$3:$A$202,0))/13,0))))),0)</f>
        <v/>
      </c>
      <c r="J122" s="45" t="n"/>
      <c r="K122" s="45" t="n"/>
      <c r="L122" s="44">
        <f>SUM(I122:K122)</f>
        <v/>
      </c>
      <c r="M122" s="45" t="n"/>
      <c r="N122" s="45" t="n"/>
      <c r="O122" s="44">
        <f>IFERROR(ROUND(L122*INDEX('Employee Database'!$L$3:$L$202,MATCH(E122,'Employee Database'!$A$3:$A$202,0))/100,2),0)</f>
        <v/>
      </c>
      <c r="P122" s="45" t="n"/>
      <c r="Q122" s="44">
        <f>SUM(M122:P122)</f>
        <v/>
      </c>
      <c r="R122" s="44">
        <f>L122-Q122</f>
        <v/>
      </c>
      <c r="S122" s="45" t="n"/>
      <c r="T122" s="44">
        <f>IFERROR(ROUND(L122*INDEX('Employee Database'!$M$3:$M$202,MATCH(E122,'Employee Database'!$A$3:$A$202,0))/100,2),0)</f>
        <v/>
      </c>
      <c r="U122" s="44">
        <f>SUM(L122,S122,T122)</f>
        <v/>
      </c>
      <c r="V122" s="46">
        <f>IF(E122="","",IF(OR(B122="",C122="",D122=""),"Missing period/date",IF(L122&lt;0,"Check gross pay",IF(R122&lt;0,"Deductions exceed gross","Review statutory amounts"))))</f>
        <v/>
      </c>
      <c r="W122" s="42" t="n"/>
      <c r="X122" s="47" t="n"/>
    </row>
    <row r="123">
      <c r="A123" s="42" t="n"/>
      <c r="B123" s="39" t="n"/>
      <c r="C123" s="39" t="n"/>
      <c r="D123" s="39" t="n"/>
      <c r="E123" s="42" t="n"/>
      <c r="F123" s="43">
        <f>IFERROR(INDEX('Employee Database'!$B$3:$B$202,MATCH(E123,'Employee Database'!$A$3:$A$202,0)),"")</f>
        <v/>
      </c>
      <c r="G123" s="43">
        <f>IFERROR(INDEX('Employee Database'!$F$3:$F$202,MATCH(E123,'Employee Database'!$A$3:$A$202,0)),"")</f>
        <v/>
      </c>
      <c r="H123" s="43">
        <f>IFERROR(INDEX('Employee Database'!$I$3:$I$202,MATCH(E123,'Employee Database'!$A$3:$A$202,0)),"")</f>
        <v/>
      </c>
      <c r="I123" s="44">
        <f>IFERROR(IF(H123="Monthly",INDEX('Employee Database'!$J$3:$J$202,MATCH(E123,'Employee Database'!$A$3:$A$202,0))/12,IF(H123="Weekly",INDEX('Employee Database'!$J$3:$J$202,MATCH(E123,'Employee Database'!$A$3:$A$202,0))/52,IF(H123="Fortnightly",INDEX('Employee Database'!$J$3:$J$202,MATCH(E123,'Employee Database'!$A$3:$A$202,0))/26,IF(H123="Four-weekly",INDEX('Employee Database'!$J$3:$J$202,MATCH(E123,'Employee Database'!$A$3:$A$202,0))/13,0))))),0)</f>
        <v/>
      </c>
      <c r="J123" s="45" t="n"/>
      <c r="K123" s="45" t="n"/>
      <c r="L123" s="44">
        <f>SUM(I123:K123)</f>
        <v/>
      </c>
      <c r="M123" s="45" t="n"/>
      <c r="N123" s="45" t="n"/>
      <c r="O123" s="44">
        <f>IFERROR(ROUND(L123*INDEX('Employee Database'!$L$3:$L$202,MATCH(E123,'Employee Database'!$A$3:$A$202,0))/100,2),0)</f>
        <v/>
      </c>
      <c r="P123" s="45" t="n"/>
      <c r="Q123" s="44">
        <f>SUM(M123:P123)</f>
        <v/>
      </c>
      <c r="R123" s="44">
        <f>L123-Q123</f>
        <v/>
      </c>
      <c r="S123" s="45" t="n"/>
      <c r="T123" s="44">
        <f>IFERROR(ROUND(L123*INDEX('Employee Database'!$M$3:$M$202,MATCH(E123,'Employee Database'!$A$3:$A$202,0))/100,2),0)</f>
        <v/>
      </c>
      <c r="U123" s="44">
        <f>SUM(L123,S123,T123)</f>
        <v/>
      </c>
      <c r="V123" s="46">
        <f>IF(E123="","",IF(OR(B123="",C123="",D123=""),"Missing period/date",IF(L123&lt;0,"Check gross pay",IF(R123&lt;0,"Deductions exceed gross","Review statutory amounts"))))</f>
        <v/>
      </c>
      <c r="W123" s="42" t="n"/>
      <c r="X123" s="47" t="n"/>
    </row>
    <row r="124">
      <c r="A124" s="42" t="n"/>
      <c r="B124" s="39" t="n"/>
      <c r="C124" s="39" t="n"/>
      <c r="D124" s="39" t="n"/>
      <c r="E124" s="42" t="n"/>
      <c r="F124" s="43">
        <f>IFERROR(INDEX('Employee Database'!$B$3:$B$202,MATCH(E124,'Employee Database'!$A$3:$A$202,0)),"")</f>
        <v/>
      </c>
      <c r="G124" s="43">
        <f>IFERROR(INDEX('Employee Database'!$F$3:$F$202,MATCH(E124,'Employee Database'!$A$3:$A$202,0)),"")</f>
        <v/>
      </c>
      <c r="H124" s="43">
        <f>IFERROR(INDEX('Employee Database'!$I$3:$I$202,MATCH(E124,'Employee Database'!$A$3:$A$202,0)),"")</f>
        <v/>
      </c>
      <c r="I124" s="44">
        <f>IFERROR(IF(H124="Monthly",INDEX('Employee Database'!$J$3:$J$202,MATCH(E124,'Employee Database'!$A$3:$A$202,0))/12,IF(H124="Weekly",INDEX('Employee Database'!$J$3:$J$202,MATCH(E124,'Employee Database'!$A$3:$A$202,0))/52,IF(H124="Fortnightly",INDEX('Employee Database'!$J$3:$J$202,MATCH(E124,'Employee Database'!$A$3:$A$202,0))/26,IF(H124="Four-weekly",INDEX('Employee Database'!$J$3:$J$202,MATCH(E124,'Employee Database'!$A$3:$A$202,0))/13,0))))),0)</f>
        <v/>
      </c>
      <c r="J124" s="45" t="n"/>
      <c r="K124" s="45" t="n"/>
      <c r="L124" s="44">
        <f>SUM(I124:K124)</f>
        <v/>
      </c>
      <c r="M124" s="45" t="n"/>
      <c r="N124" s="45" t="n"/>
      <c r="O124" s="44">
        <f>IFERROR(ROUND(L124*INDEX('Employee Database'!$L$3:$L$202,MATCH(E124,'Employee Database'!$A$3:$A$202,0))/100,2),0)</f>
        <v/>
      </c>
      <c r="P124" s="45" t="n"/>
      <c r="Q124" s="44">
        <f>SUM(M124:P124)</f>
        <v/>
      </c>
      <c r="R124" s="44">
        <f>L124-Q124</f>
        <v/>
      </c>
      <c r="S124" s="45" t="n"/>
      <c r="T124" s="44">
        <f>IFERROR(ROUND(L124*INDEX('Employee Database'!$M$3:$M$202,MATCH(E124,'Employee Database'!$A$3:$A$202,0))/100,2),0)</f>
        <v/>
      </c>
      <c r="U124" s="44">
        <f>SUM(L124,S124,T124)</f>
        <v/>
      </c>
      <c r="V124" s="46">
        <f>IF(E124="","",IF(OR(B124="",C124="",D124=""),"Missing period/date",IF(L124&lt;0,"Check gross pay",IF(R124&lt;0,"Deductions exceed gross","Review statutory amounts"))))</f>
        <v/>
      </c>
      <c r="W124" s="42" t="n"/>
      <c r="X124" s="47" t="n"/>
    </row>
    <row r="125">
      <c r="A125" s="42" t="n"/>
      <c r="B125" s="39" t="n"/>
      <c r="C125" s="39" t="n"/>
      <c r="D125" s="39" t="n"/>
      <c r="E125" s="42" t="n"/>
      <c r="F125" s="43">
        <f>IFERROR(INDEX('Employee Database'!$B$3:$B$202,MATCH(E125,'Employee Database'!$A$3:$A$202,0)),"")</f>
        <v/>
      </c>
      <c r="G125" s="43">
        <f>IFERROR(INDEX('Employee Database'!$F$3:$F$202,MATCH(E125,'Employee Database'!$A$3:$A$202,0)),"")</f>
        <v/>
      </c>
      <c r="H125" s="43">
        <f>IFERROR(INDEX('Employee Database'!$I$3:$I$202,MATCH(E125,'Employee Database'!$A$3:$A$202,0)),"")</f>
        <v/>
      </c>
      <c r="I125" s="44">
        <f>IFERROR(IF(H125="Monthly",INDEX('Employee Database'!$J$3:$J$202,MATCH(E125,'Employee Database'!$A$3:$A$202,0))/12,IF(H125="Weekly",INDEX('Employee Database'!$J$3:$J$202,MATCH(E125,'Employee Database'!$A$3:$A$202,0))/52,IF(H125="Fortnightly",INDEX('Employee Database'!$J$3:$J$202,MATCH(E125,'Employee Database'!$A$3:$A$202,0))/26,IF(H125="Four-weekly",INDEX('Employee Database'!$J$3:$J$202,MATCH(E125,'Employee Database'!$A$3:$A$202,0))/13,0))))),0)</f>
        <v/>
      </c>
      <c r="J125" s="45" t="n"/>
      <c r="K125" s="45" t="n"/>
      <c r="L125" s="44">
        <f>SUM(I125:K125)</f>
        <v/>
      </c>
      <c r="M125" s="45" t="n"/>
      <c r="N125" s="45" t="n"/>
      <c r="O125" s="44">
        <f>IFERROR(ROUND(L125*INDEX('Employee Database'!$L$3:$L$202,MATCH(E125,'Employee Database'!$A$3:$A$202,0))/100,2),0)</f>
        <v/>
      </c>
      <c r="P125" s="45" t="n"/>
      <c r="Q125" s="44">
        <f>SUM(M125:P125)</f>
        <v/>
      </c>
      <c r="R125" s="44">
        <f>L125-Q125</f>
        <v/>
      </c>
      <c r="S125" s="45" t="n"/>
      <c r="T125" s="44">
        <f>IFERROR(ROUND(L125*INDEX('Employee Database'!$M$3:$M$202,MATCH(E125,'Employee Database'!$A$3:$A$202,0))/100,2),0)</f>
        <v/>
      </c>
      <c r="U125" s="44">
        <f>SUM(L125,S125,T125)</f>
        <v/>
      </c>
      <c r="V125" s="46">
        <f>IF(E125="","",IF(OR(B125="",C125="",D125=""),"Missing period/date",IF(L125&lt;0,"Check gross pay",IF(R125&lt;0,"Deductions exceed gross","Review statutory amounts"))))</f>
        <v/>
      </c>
      <c r="W125" s="42" t="n"/>
      <c r="X125" s="47" t="n"/>
    </row>
    <row r="126">
      <c r="A126" s="42" t="n"/>
      <c r="B126" s="39" t="n"/>
      <c r="C126" s="39" t="n"/>
      <c r="D126" s="39" t="n"/>
      <c r="E126" s="42" t="n"/>
      <c r="F126" s="43">
        <f>IFERROR(INDEX('Employee Database'!$B$3:$B$202,MATCH(E126,'Employee Database'!$A$3:$A$202,0)),"")</f>
        <v/>
      </c>
      <c r="G126" s="43">
        <f>IFERROR(INDEX('Employee Database'!$F$3:$F$202,MATCH(E126,'Employee Database'!$A$3:$A$202,0)),"")</f>
        <v/>
      </c>
      <c r="H126" s="43">
        <f>IFERROR(INDEX('Employee Database'!$I$3:$I$202,MATCH(E126,'Employee Database'!$A$3:$A$202,0)),"")</f>
        <v/>
      </c>
      <c r="I126" s="44">
        <f>IFERROR(IF(H126="Monthly",INDEX('Employee Database'!$J$3:$J$202,MATCH(E126,'Employee Database'!$A$3:$A$202,0))/12,IF(H126="Weekly",INDEX('Employee Database'!$J$3:$J$202,MATCH(E126,'Employee Database'!$A$3:$A$202,0))/52,IF(H126="Fortnightly",INDEX('Employee Database'!$J$3:$J$202,MATCH(E126,'Employee Database'!$A$3:$A$202,0))/26,IF(H126="Four-weekly",INDEX('Employee Database'!$J$3:$J$202,MATCH(E126,'Employee Database'!$A$3:$A$202,0))/13,0))))),0)</f>
        <v/>
      </c>
      <c r="J126" s="45" t="n"/>
      <c r="K126" s="45" t="n"/>
      <c r="L126" s="44">
        <f>SUM(I126:K126)</f>
        <v/>
      </c>
      <c r="M126" s="45" t="n"/>
      <c r="N126" s="45" t="n"/>
      <c r="O126" s="44">
        <f>IFERROR(ROUND(L126*INDEX('Employee Database'!$L$3:$L$202,MATCH(E126,'Employee Database'!$A$3:$A$202,0))/100,2),0)</f>
        <v/>
      </c>
      <c r="P126" s="45" t="n"/>
      <c r="Q126" s="44">
        <f>SUM(M126:P126)</f>
        <v/>
      </c>
      <c r="R126" s="44">
        <f>L126-Q126</f>
        <v/>
      </c>
      <c r="S126" s="45" t="n"/>
      <c r="T126" s="44">
        <f>IFERROR(ROUND(L126*INDEX('Employee Database'!$M$3:$M$202,MATCH(E126,'Employee Database'!$A$3:$A$202,0))/100,2),0)</f>
        <v/>
      </c>
      <c r="U126" s="44">
        <f>SUM(L126,S126,T126)</f>
        <v/>
      </c>
      <c r="V126" s="46">
        <f>IF(E126="","",IF(OR(B126="",C126="",D126=""),"Missing period/date",IF(L126&lt;0,"Check gross pay",IF(R126&lt;0,"Deductions exceed gross","Review statutory amounts"))))</f>
        <v/>
      </c>
      <c r="W126" s="42" t="n"/>
      <c r="X126" s="47" t="n"/>
    </row>
    <row r="127">
      <c r="A127" s="42" t="n"/>
      <c r="B127" s="39" t="n"/>
      <c r="C127" s="39" t="n"/>
      <c r="D127" s="39" t="n"/>
      <c r="E127" s="42" t="n"/>
      <c r="F127" s="43">
        <f>IFERROR(INDEX('Employee Database'!$B$3:$B$202,MATCH(E127,'Employee Database'!$A$3:$A$202,0)),"")</f>
        <v/>
      </c>
      <c r="G127" s="43">
        <f>IFERROR(INDEX('Employee Database'!$F$3:$F$202,MATCH(E127,'Employee Database'!$A$3:$A$202,0)),"")</f>
        <v/>
      </c>
      <c r="H127" s="43">
        <f>IFERROR(INDEX('Employee Database'!$I$3:$I$202,MATCH(E127,'Employee Database'!$A$3:$A$202,0)),"")</f>
        <v/>
      </c>
      <c r="I127" s="44">
        <f>IFERROR(IF(H127="Monthly",INDEX('Employee Database'!$J$3:$J$202,MATCH(E127,'Employee Database'!$A$3:$A$202,0))/12,IF(H127="Weekly",INDEX('Employee Database'!$J$3:$J$202,MATCH(E127,'Employee Database'!$A$3:$A$202,0))/52,IF(H127="Fortnightly",INDEX('Employee Database'!$J$3:$J$202,MATCH(E127,'Employee Database'!$A$3:$A$202,0))/26,IF(H127="Four-weekly",INDEX('Employee Database'!$J$3:$J$202,MATCH(E127,'Employee Database'!$A$3:$A$202,0))/13,0))))),0)</f>
        <v/>
      </c>
      <c r="J127" s="45" t="n"/>
      <c r="K127" s="45" t="n"/>
      <c r="L127" s="44">
        <f>SUM(I127:K127)</f>
        <v/>
      </c>
      <c r="M127" s="45" t="n"/>
      <c r="N127" s="45" t="n"/>
      <c r="O127" s="44">
        <f>IFERROR(ROUND(L127*INDEX('Employee Database'!$L$3:$L$202,MATCH(E127,'Employee Database'!$A$3:$A$202,0))/100,2),0)</f>
        <v/>
      </c>
      <c r="P127" s="45" t="n"/>
      <c r="Q127" s="44">
        <f>SUM(M127:P127)</f>
        <v/>
      </c>
      <c r="R127" s="44">
        <f>L127-Q127</f>
        <v/>
      </c>
      <c r="S127" s="45" t="n"/>
      <c r="T127" s="44">
        <f>IFERROR(ROUND(L127*INDEX('Employee Database'!$M$3:$M$202,MATCH(E127,'Employee Database'!$A$3:$A$202,0))/100,2),0)</f>
        <v/>
      </c>
      <c r="U127" s="44">
        <f>SUM(L127,S127,T127)</f>
        <v/>
      </c>
      <c r="V127" s="46">
        <f>IF(E127="","",IF(OR(B127="",C127="",D127=""),"Missing period/date",IF(L127&lt;0,"Check gross pay",IF(R127&lt;0,"Deductions exceed gross","Review statutory amounts"))))</f>
        <v/>
      </c>
      <c r="W127" s="42" t="n"/>
      <c r="X127" s="47" t="n"/>
    </row>
    <row r="128">
      <c r="A128" s="42" t="n"/>
      <c r="B128" s="39" t="n"/>
      <c r="C128" s="39" t="n"/>
      <c r="D128" s="39" t="n"/>
      <c r="E128" s="42" t="n"/>
      <c r="F128" s="43">
        <f>IFERROR(INDEX('Employee Database'!$B$3:$B$202,MATCH(E128,'Employee Database'!$A$3:$A$202,0)),"")</f>
        <v/>
      </c>
      <c r="G128" s="43">
        <f>IFERROR(INDEX('Employee Database'!$F$3:$F$202,MATCH(E128,'Employee Database'!$A$3:$A$202,0)),"")</f>
        <v/>
      </c>
      <c r="H128" s="43">
        <f>IFERROR(INDEX('Employee Database'!$I$3:$I$202,MATCH(E128,'Employee Database'!$A$3:$A$202,0)),"")</f>
        <v/>
      </c>
      <c r="I128" s="44">
        <f>IFERROR(IF(H128="Monthly",INDEX('Employee Database'!$J$3:$J$202,MATCH(E128,'Employee Database'!$A$3:$A$202,0))/12,IF(H128="Weekly",INDEX('Employee Database'!$J$3:$J$202,MATCH(E128,'Employee Database'!$A$3:$A$202,0))/52,IF(H128="Fortnightly",INDEX('Employee Database'!$J$3:$J$202,MATCH(E128,'Employee Database'!$A$3:$A$202,0))/26,IF(H128="Four-weekly",INDEX('Employee Database'!$J$3:$J$202,MATCH(E128,'Employee Database'!$A$3:$A$202,0))/13,0))))),0)</f>
        <v/>
      </c>
      <c r="J128" s="45" t="n"/>
      <c r="K128" s="45" t="n"/>
      <c r="L128" s="44">
        <f>SUM(I128:K128)</f>
        <v/>
      </c>
      <c r="M128" s="45" t="n"/>
      <c r="N128" s="45" t="n"/>
      <c r="O128" s="44">
        <f>IFERROR(ROUND(L128*INDEX('Employee Database'!$L$3:$L$202,MATCH(E128,'Employee Database'!$A$3:$A$202,0))/100,2),0)</f>
        <v/>
      </c>
      <c r="P128" s="45" t="n"/>
      <c r="Q128" s="44">
        <f>SUM(M128:P128)</f>
        <v/>
      </c>
      <c r="R128" s="44">
        <f>L128-Q128</f>
        <v/>
      </c>
      <c r="S128" s="45" t="n"/>
      <c r="T128" s="44">
        <f>IFERROR(ROUND(L128*INDEX('Employee Database'!$M$3:$M$202,MATCH(E128,'Employee Database'!$A$3:$A$202,0))/100,2),0)</f>
        <v/>
      </c>
      <c r="U128" s="44">
        <f>SUM(L128,S128,T128)</f>
        <v/>
      </c>
      <c r="V128" s="46">
        <f>IF(E128="","",IF(OR(B128="",C128="",D128=""),"Missing period/date",IF(L128&lt;0,"Check gross pay",IF(R128&lt;0,"Deductions exceed gross","Review statutory amounts"))))</f>
        <v/>
      </c>
      <c r="W128" s="42" t="n"/>
      <c r="X128" s="47" t="n"/>
    </row>
    <row r="129">
      <c r="A129" s="42" t="n"/>
      <c r="B129" s="39" t="n"/>
      <c r="C129" s="39" t="n"/>
      <c r="D129" s="39" t="n"/>
      <c r="E129" s="42" t="n"/>
      <c r="F129" s="43">
        <f>IFERROR(INDEX('Employee Database'!$B$3:$B$202,MATCH(E129,'Employee Database'!$A$3:$A$202,0)),"")</f>
        <v/>
      </c>
      <c r="G129" s="43">
        <f>IFERROR(INDEX('Employee Database'!$F$3:$F$202,MATCH(E129,'Employee Database'!$A$3:$A$202,0)),"")</f>
        <v/>
      </c>
      <c r="H129" s="43">
        <f>IFERROR(INDEX('Employee Database'!$I$3:$I$202,MATCH(E129,'Employee Database'!$A$3:$A$202,0)),"")</f>
        <v/>
      </c>
      <c r="I129" s="44">
        <f>IFERROR(IF(H129="Monthly",INDEX('Employee Database'!$J$3:$J$202,MATCH(E129,'Employee Database'!$A$3:$A$202,0))/12,IF(H129="Weekly",INDEX('Employee Database'!$J$3:$J$202,MATCH(E129,'Employee Database'!$A$3:$A$202,0))/52,IF(H129="Fortnightly",INDEX('Employee Database'!$J$3:$J$202,MATCH(E129,'Employee Database'!$A$3:$A$202,0))/26,IF(H129="Four-weekly",INDEX('Employee Database'!$J$3:$J$202,MATCH(E129,'Employee Database'!$A$3:$A$202,0))/13,0))))),0)</f>
        <v/>
      </c>
      <c r="J129" s="45" t="n"/>
      <c r="K129" s="45" t="n"/>
      <c r="L129" s="44">
        <f>SUM(I129:K129)</f>
        <v/>
      </c>
      <c r="M129" s="45" t="n"/>
      <c r="N129" s="45" t="n"/>
      <c r="O129" s="44">
        <f>IFERROR(ROUND(L129*INDEX('Employee Database'!$L$3:$L$202,MATCH(E129,'Employee Database'!$A$3:$A$202,0))/100,2),0)</f>
        <v/>
      </c>
      <c r="P129" s="45" t="n"/>
      <c r="Q129" s="44">
        <f>SUM(M129:P129)</f>
        <v/>
      </c>
      <c r="R129" s="44">
        <f>L129-Q129</f>
        <v/>
      </c>
      <c r="S129" s="45" t="n"/>
      <c r="T129" s="44">
        <f>IFERROR(ROUND(L129*INDEX('Employee Database'!$M$3:$M$202,MATCH(E129,'Employee Database'!$A$3:$A$202,0))/100,2),0)</f>
        <v/>
      </c>
      <c r="U129" s="44">
        <f>SUM(L129,S129,T129)</f>
        <v/>
      </c>
      <c r="V129" s="46">
        <f>IF(E129="","",IF(OR(B129="",C129="",D129=""),"Missing period/date",IF(L129&lt;0,"Check gross pay",IF(R129&lt;0,"Deductions exceed gross","Review statutory amounts"))))</f>
        <v/>
      </c>
      <c r="W129" s="42" t="n"/>
      <c r="X129" s="47" t="n"/>
    </row>
    <row r="130">
      <c r="A130" s="42" t="n"/>
      <c r="B130" s="39" t="n"/>
      <c r="C130" s="39" t="n"/>
      <c r="D130" s="39" t="n"/>
      <c r="E130" s="42" t="n"/>
      <c r="F130" s="43">
        <f>IFERROR(INDEX('Employee Database'!$B$3:$B$202,MATCH(E130,'Employee Database'!$A$3:$A$202,0)),"")</f>
        <v/>
      </c>
      <c r="G130" s="43">
        <f>IFERROR(INDEX('Employee Database'!$F$3:$F$202,MATCH(E130,'Employee Database'!$A$3:$A$202,0)),"")</f>
        <v/>
      </c>
      <c r="H130" s="43">
        <f>IFERROR(INDEX('Employee Database'!$I$3:$I$202,MATCH(E130,'Employee Database'!$A$3:$A$202,0)),"")</f>
        <v/>
      </c>
      <c r="I130" s="44">
        <f>IFERROR(IF(H130="Monthly",INDEX('Employee Database'!$J$3:$J$202,MATCH(E130,'Employee Database'!$A$3:$A$202,0))/12,IF(H130="Weekly",INDEX('Employee Database'!$J$3:$J$202,MATCH(E130,'Employee Database'!$A$3:$A$202,0))/52,IF(H130="Fortnightly",INDEX('Employee Database'!$J$3:$J$202,MATCH(E130,'Employee Database'!$A$3:$A$202,0))/26,IF(H130="Four-weekly",INDEX('Employee Database'!$J$3:$J$202,MATCH(E130,'Employee Database'!$A$3:$A$202,0))/13,0))))),0)</f>
        <v/>
      </c>
      <c r="J130" s="45" t="n"/>
      <c r="K130" s="45" t="n"/>
      <c r="L130" s="44">
        <f>SUM(I130:K130)</f>
        <v/>
      </c>
      <c r="M130" s="45" t="n"/>
      <c r="N130" s="45" t="n"/>
      <c r="O130" s="44">
        <f>IFERROR(ROUND(L130*INDEX('Employee Database'!$L$3:$L$202,MATCH(E130,'Employee Database'!$A$3:$A$202,0))/100,2),0)</f>
        <v/>
      </c>
      <c r="P130" s="45" t="n"/>
      <c r="Q130" s="44">
        <f>SUM(M130:P130)</f>
        <v/>
      </c>
      <c r="R130" s="44">
        <f>L130-Q130</f>
        <v/>
      </c>
      <c r="S130" s="45" t="n"/>
      <c r="T130" s="44">
        <f>IFERROR(ROUND(L130*INDEX('Employee Database'!$M$3:$M$202,MATCH(E130,'Employee Database'!$A$3:$A$202,0))/100,2),0)</f>
        <v/>
      </c>
      <c r="U130" s="44">
        <f>SUM(L130,S130,T130)</f>
        <v/>
      </c>
      <c r="V130" s="46">
        <f>IF(E130="","",IF(OR(B130="",C130="",D130=""),"Missing period/date",IF(L130&lt;0,"Check gross pay",IF(R130&lt;0,"Deductions exceed gross","Review statutory amounts"))))</f>
        <v/>
      </c>
      <c r="W130" s="42" t="n"/>
      <c r="X130" s="47" t="n"/>
    </row>
    <row r="131">
      <c r="A131" s="42" t="n"/>
      <c r="B131" s="39" t="n"/>
      <c r="C131" s="39" t="n"/>
      <c r="D131" s="39" t="n"/>
      <c r="E131" s="42" t="n"/>
      <c r="F131" s="43">
        <f>IFERROR(INDEX('Employee Database'!$B$3:$B$202,MATCH(E131,'Employee Database'!$A$3:$A$202,0)),"")</f>
        <v/>
      </c>
      <c r="G131" s="43">
        <f>IFERROR(INDEX('Employee Database'!$F$3:$F$202,MATCH(E131,'Employee Database'!$A$3:$A$202,0)),"")</f>
        <v/>
      </c>
      <c r="H131" s="43">
        <f>IFERROR(INDEX('Employee Database'!$I$3:$I$202,MATCH(E131,'Employee Database'!$A$3:$A$202,0)),"")</f>
        <v/>
      </c>
      <c r="I131" s="44">
        <f>IFERROR(IF(H131="Monthly",INDEX('Employee Database'!$J$3:$J$202,MATCH(E131,'Employee Database'!$A$3:$A$202,0))/12,IF(H131="Weekly",INDEX('Employee Database'!$J$3:$J$202,MATCH(E131,'Employee Database'!$A$3:$A$202,0))/52,IF(H131="Fortnightly",INDEX('Employee Database'!$J$3:$J$202,MATCH(E131,'Employee Database'!$A$3:$A$202,0))/26,IF(H131="Four-weekly",INDEX('Employee Database'!$J$3:$J$202,MATCH(E131,'Employee Database'!$A$3:$A$202,0))/13,0))))),0)</f>
        <v/>
      </c>
      <c r="J131" s="45" t="n"/>
      <c r="K131" s="45" t="n"/>
      <c r="L131" s="44">
        <f>SUM(I131:K131)</f>
        <v/>
      </c>
      <c r="M131" s="45" t="n"/>
      <c r="N131" s="45" t="n"/>
      <c r="O131" s="44">
        <f>IFERROR(ROUND(L131*INDEX('Employee Database'!$L$3:$L$202,MATCH(E131,'Employee Database'!$A$3:$A$202,0))/100,2),0)</f>
        <v/>
      </c>
      <c r="P131" s="45" t="n"/>
      <c r="Q131" s="44">
        <f>SUM(M131:P131)</f>
        <v/>
      </c>
      <c r="R131" s="44">
        <f>L131-Q131</f>
        <v/>
      </c>
      <c r="S131" s="45" t="n"/>
      <c r="T131" s="44">
        <f>IFERROR(ROUND(L131*INDEX('Employee Database'!$M$3:$M$202,MATCH(E131,'Employee Database'!$A$3:$A$202,0))/100,2),0)</f>
        <v/>
      </c>
      <c r="U131" s="44">
        <f>SUM(L131,S131,T131)</f>
        <v/>
      </c>
      <c r="V131" s="46">
        <f>IF(E131="","",IF(OR(B131="",C131="",D131=""),"Missing period/date",IF(L131&lt;0,"Check gross pay",IF(R131&lt;0,"Deductions exceed gross","Review statutory amounts"))))</f>
        <v/>
      </c>
      <c r="W131" s="42" t="n"/>
      <c r="X131" s="47" t="n"/>
    </row>
    <row r="132">
      <c r="A132" s="42" t="n"/>
      <c r="B132" s="39" t="n"/>
      <c r="C132" s="39" t="n"/>
      <c r="D132" s="39" t="n"/>
      <c r="E132" s="42" t="n"/>
      <c r="F132" s="43">
        <f>IFERROR(INDEX('Employee Database'!$B$3:$B$202,MATCH(E132,'Employee Database'!$A$3:$A$202,0)),"")</f>
        <v/>
      </c>
      <c r="G132" s="43">
        <f>IFERROR(INDEX('Employee Database'!$F$3:$F$202,MATCH(E132,'Employee Database'!$A$3:$A$202,0)),"")</f>
        <v/>
      </c>
      <c r="H132" s="43">
        <f>IFERROR(INDEX('Employee Database'!$I$3:$I$202,MATCH(E132,'Employee Database'!$A$3:$A$202,0)),"")</f>
        <v/>
      </c>
      <c r="I132" s="44">
        <f>IFERROR(IF(H132="Monthly",INDEX('Employee Database'!$J$3:$J$202,MATCH(E132,'Employee Database'!$A$3:$A$202,0))/12,IF(H132="Weekly",INDEX('Employee Database'!$J$3:$J$202,MATCH(E132,'Employee Database'!$A$3:$A$202,0))/52,IF(H132="Fortnightly",INDEX('Employee Database'!$J$3:$J$202,MATCH(E132,'Employee Database'!$A$3:$A$202,0))/26,IF(H132="Four-weekly",INDEX('Employee Database'!$J$3:$J$202,MATCH(E132,'Employee Database'!$A$3:$A$202,0))/13,0))))),0)</f>
        <v/>
      </c>
      <c r="J132" s="45" t="n"/>
      <c r="K132" s="45" t="n"/>
      <c r="L132" s="44">
        <f>SUM(I132:K132)</f>
        <v/>
      </c>
      <c r="M132" s="45" t="n"/>
      <c r="N132" s="45" t="n"/>
      <c r="O132" s="44">
        <f>IFERROR(ROUND(L132*INDEX('Employee Database'!$L$3:$L$202,MATCH(E132,'Employee Database'!$A$3:$A$202,0))/100,2),0)</f>
        <v/>
      </c>
      <c r="P132" s="45" t="n"/>
      <c r="Q132" s="44">
        <f>SUM(M132:P132)</f>
        <v/>
      </c>
      <c r="R132" s="44">
        <f>L132-Q132</f>
        <v/>
      </c>
      <c r="S132" s="45" t="n"/>
      <c r="T132" s="44">
        <f>IFERROR(ROUND(L132*INDEX('Employee Database'!$M$3:$M$202,MATCH(E132,'Employee Database'!$A$3:$A$202,0))/100,2),0)</f>
        <v/>
      </c>
      <c r="U132" s="44">
        <f>SUM(L132,S132,T132)</f>
        <v/>
      </c>
      <c r="V132" s="46">
        <f>IF(E132="","",IF(OR(B132="",C132="",D132=""),"Missing period/date",IF(L132&lt;0,"Check gross pay",IF(R132&lt;0,"Deductions exceed gross","Review statutory amounts"))))</f>
        <v/>
      </c>
      <c r="W132" s="42" t="n"/>
      <c r="X132" s="47" t="n"/>
    </row>
    <row r="133">
      <c r="A133" s="42" t="n"/>
      <c r="B133" s="39" t="n"/>
      <c r="C133" s="39" t="n"/>
      <c r="D133" s="39" t="n"/>
      <c r="E133" s="42" t="n"/>
      <c r="F133" s="43">
        <f>IFERROR(INDEX('Employee Database'!$B$3:$B$202,MATCH(E133,'Employee Database'!$A$3:$A$202,0)),"")</f>
        <v/>
      </c>
      <c r="G133" s="43">
        <f>IFERROR(INDEX('Employee Database'!$F$3:$F$202,MATCH(E133,'Employee Database'!$A$3:$A$202,0)),"")</f>
        <v/>
      </c>
      <c r="H133" s="43">
        <f>IFERROR(INDEX('Employee Database'!$I$3:$I$202,MATCH(E133,'Employee Database'!$A$3:$A$202,0)),"")</f>
        <v/>
      </c>
      <c r="I133" s="44">
        <f>IFERROR(IF(H133="Monthly",INDEX('Employee Database'!$J$3:$J$202,MATCH(E133,'Employee Database'!$A$3:$A$202,0))/12,IF(H133="Weekly",INDEX('Employee Database'!$J$3:$J$202,MATCH(E133,'Employee Database'!$A$3:$A$202,0))/52,IF(H133="Fortnightly",INDEX('Employee Database'!$J$3:$J$202,MATCH(E133,'Employee Database'!$A$3:$A$202,0))/26,IF(H133="Four-weekly",INDEX('Employee Database'!$J$3:$J$202,MATCH(E133,'Employee Database'!$A$3:$A$202,0))/13,0))))),0)</f>
        <v/>
      </c>
      <c r="J133" s="45" t="n"/>
      <c r="K133" s="45" t="n"/>
      <c r="L133" s="44">
        <f>SUM(I133:K133)</f>
        <v/>
      </c>
      <c r="M133" s="45" t="n"/>
      <c r="N133" s="45" t="n"/>
      <c r="O133" s="44">
        <f>IFERROR(ROUND(L133*INDEX('Employee Database'!$L$3:$L$202,MATCH(E133,'Employee Database'!$A$3:$A$202,0))/100,2),0)</f>
        <v/>
      </c>
      <c r="P133" s="45" t="n"/>
      <c r="Q133" s="44">
        <f>SUM(M133:P133)</f>
        <v/>
      </c>
      <c r="R133" s="44">
        <f>L133-Q133</f>
        <v/>
      </c>
      <c r="S133" s="45" t="n"/>
      <c r="T133" s="44">
        <f>IFERROR(ROUND(L133*INDEX('Employee Database'!$M$3:$M$202,MATCH(E133,'Employee Database'!$A$3:$A$202,0))/100,2),0)</f>
        <v/>
      </c>
      <c r="U133" s="44">
        <f>SUM(L133,S133,T133)</f>
        <v/>
      </c>
      <c r="V133" s="46">
        <f>IF(E133="","",IF(OR(B133="",C133="",D133=""),"Missing period/date",IF(L133&lt;0,"Check gross pay",IF(R133&lt;0,"Deductions exceed gross","Review statutory amounts"))))</f>
        <v/>
      </c>
      <c r="W133" s="42" t="n"/>
      <c r="X133" s="47" t="n"/>
    </row>
    <row r="134">
      <c r="A134" s="42" t="n"/>
      <c r="B134" s="39" t="n"/>
      <c r="C134" s="39" t="n"/>
      <c r="D134" s="39" t="n"/>
      <c r="E134" s="42" t="n"/>
      <c r="F134" s="43">
        <f>IFERROR(INDEX('Employee Database'!$B$3:$B$202,MATCH(E134,'Employee Database'!$A$3:$A$202,0)),"")</f>
        <v/>
      </c>
      <c r="G134" s="43">
        <f>IFERROR(INDEX('Employee Database'!$F$3:$F$202,MATCH(E134,'Employee Database'!$A$3:$A$202,0)),"")</f>
        <v/>
      </c>
      <c r="H134" s="43">
        <f>IFERROR(INDEX('Employee Database'!$I$3:$I$202,MATCH(E134,'Employee Database'!$A$3:$A$202,0)),"")</f>
        <v/>
      </c>
      <c r="I134" s="44">
        <f>IFERROR(IF(H134="Monthly",INDEX('Employee Database'!$J$3:$J$202,MATCH(E134,'Employee Database'!$A$3:$A$202,0))/12,IF(H134="Weekly",INDEX('Employee Database'!$J$3:$J$202,MATCH(E134,'Employee Database'!$A$3:$A$202,0))/52,IF(H134="Fortnightly",INDEX('Employee Database'!$J$3:$J$202,MATCH(E134,'Employee Database'!$A$3:$A$202,0))/26,IF(H134="Four-weekly",INDEX('Employee Database'!$J$3:$J$202,MATCH(E134,'Employee Database'!$A$3:$A$202,0))/13,0))))),0)</f>
        <v/>
      </c>
      <c r="J134" s="45" t="n"/>
      <c r="K134" s="45" t="n"/>
      <c r="L134" s="44">
        <f>SUM(I134:K134)</f>
        <v/>
      </c>
      <c r="M134" s="45" t="n"/>
      <c r="N134" s="45" t="n"/>
      <c r="O134" s="44">
        <f>IFERROR(ROUND(L134*INDEX('Employee Database'!$L$3:$L$202,MATCH(E134,'Employee Database'!$A$3:$A$202,0))/100,2),0)</f>
        <v/>
      </c>
      <c r="P134" s="45" t="n"/>
      <c r="Q134" s="44">
        <f>SUM(M134:P134)</f>
        <v/>
      </c>
      <c r="R134" s="44">
        <f>L134-Q134</f>
        <v/>
      </c>
      <c r="S134" s="45" t="n"/>
      <c r="T134" s="44">
        <f>IFERROR(ROUND(L134*INDEX('Employee Database'!$M$3:$M$202,MATCH(E134,'Employee Database'!$A$3:$A$202,0))/100,2),0)</f>
        <v/>
      </c>
      <c r="U134" s="44">
        <f>SUM(L134,S134,T134)</f>
        <v/>
      </c>
      <c r="V134" s="46">
        <f>IF(E134="","",IF(OR(B134="",C134="",D134=""),"Missing period/date",IF(L134&lt;0,"Check gross pay",IF(R134&lt;0,"Deductions exceed gross","Review statutory amounts"))))</f>
        <v/>
      </c>
      <c r="W134" s="42" t="n"/>
      <c r="X134" s="47" t="n"/>
    </row>
    <row r="135">
      <c r="A135" s="42" t="n"/>
      <c r="B135" s="39" t="n"/>
      <c r="C135" s="39" t="n"/>
      <c r="D135" s="39" t="n"/>
      <c r="E135" s="42" t="n"/>
      <c r="F135" s="43">
        <f>IFERROR(INDEX('Employee Database'!$B$3:$B$202,MATCH(E135,'Employee Database'!$A$3:$A$202,0)),"")</f>
        <v/>
      </c>
      <c r="G135" s="43">
        <f>IFERROR(INDEX('Employee Database'!$F$3:$F$202,MATCH(E135,'Employee Database'!$A$3:$A$202,0)),"")</f>
        <v/>
      </c>
      <c r="H135" s="43">
        <f>IFERROR(INDEX('Employee Database'!$I$3:$I$202,MATCH(E135,'Employee Database'!$A$3:$A$202,0)),"")</f>
        <v/>
      </c>
      <c r="I135" s="44">
        <f>IFERROR(IF(H135="Monthly",INDEX('Employee Database'!$J$3:$J$202,MATCH(E135,'Employee Database'!$A$3:$A$202,0))/12,IF(H135="Weekly",INDEX('Employee Database'!$J$3:$J$202,MATCH(E135,'Employee Database'!$A$3:$A$202,0))/52,IF(H135="Fortnightly",INDEX('Employee Database'!$J$3:$J$202,MATCH(E135,'Employee Database'!$A$3:$A$202,0))/26,IF(H135="Four-weekly",INDEX('Employee Database'!$J$3:$J$202,MATCH(E135,'Employee Database'!$A$3:$A$202,0))/13,0))))),0)</f>
        <v/>
      </c>
      <c r="J135" s="45" t="n"/>
      <c r="K135" s="45" t="n"/>
      <c r="L135" s="44">
        <f>SUM(I135:K135)</f>
        <v/>
      </c>
      <c r="M135" s="45" t="n"/>
      <c r="N135" s="45" t="n"/>
      <c r="O135" s="44">
        <f>IFERROR(ROUND(L135*INDEX('Employee Database'!$L$3:$L$202,MATCH(E135,'Employee Database'!$A$3:$A$202,0))/100,2),0)</f>
        <v/>
      </c>
      <c r="P135" s="45" t="n"/>
      <c r="Q135" s="44">
        <f>SUM(M135:P135)</f>
        <v/>
      </c>
      <c r="R135" s="44">
        <f>L135-Q135</f>
        <v/>
      </c>
      <c r="S135" s="45" t="n"/>
      <c r="T135" s="44">
        <f>IFERROR(ROUND(L135*INDEX('Employee Database'!$M$3:$M$202,MATCH(E135,'Employee Database'!$A$3:$A$202,0))/100,2),0)</f>
        <v/>
      </c>
      <c r="U135" s="44">
        <f>SUM(L135,S135,T135)</f>
        <v/>
      </c>
      <c r="V135" s="46">
        <f>IF(E135="","",IF(OR(B135="",C135="",D135=""),"Missing period/date",IF(L135&lt;0,"Check gross pay",IF(R135&lt;0,"Deductions exceed gross","Review statutory amounts"))))</f>
        <v/>
      </c>
      <c r="W135" s="42" t="n"/>
      <c r="X135" s="47" t="n"/>
    </row>
    <row r="136">
      <c r="A136" s="42" t="n"/>
      <c r="B136" s="39" t="n"/>
      <c r="C136" s="39" t="n"/>
      <c r="D136" s="39" t="n"/>
      <c r="E136" s="42" t="n"/>
      <c r="F136" s="43">
        <f>IFERROR(INDEX('Employee Database'!$B$3:$B$202,MATCH(E136,'Employee Database'!$A$3:$A$202,0)),"")</f>
        <v/>
      </c>
      <c r="G136" s="43">
        <f>IFERROR(INDEX('Employee Database'!$F$3:$F$202,MATCH(E136,'Employee Database'!$A$3:$A$202,0)),"")</f>
        <v/>
      </c>
      <c r="H136" s="43">
        <f>IFERROR(INDEX('Employee Database'!$I$3:$I$202,MATCH(E136,'Employee Database'!$A$3:$A$202,0)),"")</f>
        <v/>
      </c>
      <c r="I136" s="44">
        <f>IFERROR(IF(H136="Monthly",INDEX('Employee Database'!$J$3:$J$202,MATCH(E136,'Employee Database'!$A$3:$A$202,0))/12,IF(H136="Weekly",INDEX('Employee Database'!$J$3:$J$202,MATCH(E136,'Employee Database'!$A$3:$A$202,0))/52,IF(H136="Fortnightly",INDEX('Employee Database'!$J$3:$J$202,MATCH(E136,'Employee Database'!$A$3:$A$202,0))/26,IF(H136="Four-weekly",INDEX('Employee Database'!$J$3:$J$202,MATCH(E136,'Employee Database'!$A$3:$A$202,0))/13,0))))),0)</f>
        <v/>
      </c>
      <c r="J136" s="45" t="n"/>
      <c r="K136" s="45" t="n"/>
      <c r="L136" s="44">
        <f>SUM(I136:K136)</f>
        <v/>
      </c>
      <c r="M136" s="45" t="n"/>
      <c r="N136" s="45" t="n"/>
      <c r="O136" s="44">
        <f>IFERROR(ROUND(L136*INDEX('Employee Database'!$L$3:$L$202,MATCH(E136,'Employee Database'!$A$3:$A$202,0))/100,2),0)</f>
        <v/>
      </c>
      <c r="P136" s="45" t="n"/>
      <c r="Q136" s="44">
        <f>SUM(M136:P136)</f>
        <v/>
      </c>
      <c r="R136" s="44">
        <f>L136-Q136</f>
        <v/>
      </c>
      <c r="S136" s="45" t="n"/>
      <c r="T136" s="44">
        <f>IFERROR(ROUND(L136*INDEX('Employee Database'!$M$3:$M$202,MATCH(E136,'Employee Database'!$A$3:$A$202,0))/100,2),0)</f>
        <v/>
      </c>
      <c r="U136" s="44">
        <f>SUM(L136,S136,T136)</f>
        <v/>
      </c>
      <c r="V136" s="46">
        <f>IF(E136="","",IF(OR(B136="",C136="",D136=""),"Missing period/date",IF(L136&lt;0,"Check gross pay",IF(R136&lt;0,"Deductions exceed gross","Review statutory amounts"))))</f>
        <v/>
      </c>
      <c r="W136" s="42" t="n"/>
      <c r="X136" s="47" t="n"/>
    </row>
    <row r="137">
      <c r="A137" s="42" t="n"/>
      <c r="B137" s="39" t="n"/>
      <c r="C137" s="39" t="n"/>
      <c r="D137" s="39" t="n"/>
      <c r="E137" s="42" t="n"/>
      <c r="F137" s="43">
        <f>IFERROR(INDEX('Employee Database'!$B$3:$B$202,MATCH(E137,'Employee Database'!$A$3:$A$202,0)),"")</f>
        <v/>
      </c>
      <c r="G137" s="43">
        <f>IFERROR(INDEX('Employee Database'!$F$3:$F$202,MATCH(E137,'Employee Database'!$A$3:$A$202,0)),"")</f>
        <v/>
      </c>
      <c r="H137" s="43">
        <f>IFERROR(INDEX('Employee Database'!$I$3:$I$202,MATCH(E137,'Employee Database'!$A$3:$A$202,0)),"")</f>
        <v/>
      </c>
      <c r="I137" s="44">
        <f>IFERROR(IF(H137="Monthly",INDEX('Employee Database'!$J$3:$J$202,MATCH(E137,'Employee Database'!$A$3:$A$202,0))/12,IF(H137="Weekly",INDEX('Employee Database'!$J$3:$J$202,MATCH(E137,'Employee Database'!$A$3:$A$202,0))/52,IF(H137="Fortnightly",INDEX('Employee Database'!$J$3:$J$202,MATCH(E137,'Employee Database'!$A$3:$A$202,0))/26,IF(H137="Four-weekly",INDEX('Employee Database'!$J$3:$J$202,MATCH(E137,'Employee Database'!$A$3:$A$202,0))/13,0))))),0)</f>
        <v/>
      </c>
      <c r="J137" s="45" t="n"/>
      <c r="K137" s="45" t="n"/>
      <c r="L137" s="44">
        <f>SUM(I137:K137)</f>
        <v/>
      </c>
      <c r="M137" s="45" t="n"/>
      <c r="N137" s="45" t="n"/>
      <c r="O137" s="44">
        <f>IFERROR(ROUND(L137*INDEX('Employee Database'!$L$3:$L$202,MATCH(E137,'Employee Database'!$A$3:$A$202,0))/100,2),0)</f>
        <v/>
      </c>
      <c r="P137" s="45" t="n"/>
      <c r="Q137" s="44">
        <f>SUM(M137:P137)</f>
        <v/>
      </c>
      <c r="R137" s="44">
        <f>L137-Q137</f>
        <v/>
      </c>
      <c r="S137" s="45" t="n"/>
      <c r="T137" s="44">
        <f>IFERROR(ROUND(L137*INDEX('Employee Database'!$M$3:$M$202,MATCH(E137,'Employee Database'!$A$3:$A$202,0))/100,2),0)</f>
        <v/>
      </c>
      <c r="U137" s="44">
        <f>SUM(L137,S137,T137)</f>
        <v/>
      </c>
      <c r="V137" s="46">
        <f>IF(E137="","",IF(OR(B137="",C137="",D137=""),"Missing period/date",IF(L137&lt;0,"Check gross pay",IF(R137&lt;0,"Deductions exceed gross","Review statutory amounts"))))</f>
        <v/>
      </c>
      <c r="W137" s="42" t="n"/>
      <c r="X137" s="47" t="n"/>
    </row>
    <row r="138">
      <c r="A138" s="42" t="n"/>
      <c r="B138" s="39" t="n"/>
      <c r="C138" s="39" t="n"/>
      <c r="D138" s="39" t="n"/>
      <c r="E138" s="42" t="n"/>
      <c r="F138" s="43">
        <f>IFERROR(INDEX('Employee Database'!$B$3:$B$202,MATCH(E138,'Employee Database'!$A$3:$A$202,0)),"")</f>
        <v/>
      </c>
      <c r="G138" s="43">
        <f>IFERROR(INDEX('Employee Database'!$F$3:$F$202,MATCH(E138,'Employee Database'!$A$3:$A$202,0)),"")</f>
        <v/>
      </c>
      <c r="H138" s="43">
        <f>IFERROR(INDEX('Employee Database'!$I$3:$I$202,MATCH(E138,'Employee Database'!$A$3:$A$202,0)),"")</f>
        <v/>
      </c>
      <c r="I138" s="44">
        <f>IFERROR(IF(H138="Monthly",INDEX('Employee Database'!$J$3:$J$202,MATCH(E138,'Employee Database'!$A$3:$A$202,0))/12,IF(H138="Weekly",INDEX('Employee Database'!$J$3:$J$202,MATCH(E138,'Employee Database'!$A$3:$A$202,0))/52,IF(H138="Fortnightly",INDEX('Employee Database'!$J$3:$J$202,MATCH(E138,'Employee Database'!$A$3:$A$202,0))/26,IF(H138="Four-weekly",INDEX('Employee Database'!$J$3:$J$202,MATCH(E138,'Employee Database'!$A$3:$A$202,0))/13,0))))),0)</f>
        <v/>
      </c>
      <c r="J138" s="45" t="n"/>
      <c r="K138" s="45" t="n"/>
      <c r="L138" s="44">
        <f>SUM(I138:K138)</f>
        <v/>
      </c>
      <c r="M138" s="45" t="n"/>
      <c r="N138" s="45" t="n"/>
      <c r="O138" s="44">
        <f>IFERROR(ROUND(L138*INDEX('Employee Database'!$L$3:$L$202,MATCH(E138,'Employee Database'!$A$3:$A$202,0))/100,2),0)</f>
        <v/>
      </c>
      <c r="P138" s="45" t="n"/>
      <c r="Q138" s="44">
        <f>SUM(M138:P138)</f>
        <v/>
      </c>
      <c r="R138" s="44">
        <f>L138-Q138</f>
        <v/>
      </c>
      <c r="S138" s="45" t="n"/>
      <c r="T138" s="44">
        <f>IFERROR(ROUND(L138*INDEX('Employee Database'!$M$3:$M$202,MATCH(E138,'Employee Database'!$A$3:$A$202,0))/100,2),0)</f>
        <v/>
      </c>
      <c r="U138" s="44">
        <f>SUM(L138,S138,T138)</f>
        <v/>
      </c>
      <c r="V138" s="46">
        <f>IF(E138="","",IF(OR(B138="",C138="",D138=""),"Missing period/date",IF(L138&lt;0,"Check gross pay",IF(R138&lt;0,"Deductions exceed gross","Review statutory amounts"))))</f>
        <v/>
      </c>
      <c r="W138" s="42" t="n"/>
      <c r="X138" s="47" t="n"/>
    </row>
    <row r="139">
      <c r="A139" s="42" t="n"/>
      <c r="B139" s="39" t="n"/>
      <c r="C139" s="39" t="n"/>
      <c r="D139" s="39" t="n"/>
      <c r="E139" s="42" t="n"/>
      <c r="F139" s="43">
        <f>IFERROR(INDEX('Employee Database'!$B$3:$B$202,MATCH(E139,'Employee Database'!$A$3:$A$202,0)),"")</f>
        <v/>
      </c>
      <c r="G139" s="43">
        <f>IFERROR(INDEX('Employee Database'!$F$3:$F$202,MATCH(E139,'Employee Database'!$A$3:$A$202,0)),"")</f>
        <v/>
      </c>
      <c r="H139" s="43">
        <f>IFERROR(INDEX('Employee Database'!$I$3:$I$202,MATCH(E139,'Employee Database'!$A$3:$A$202,0)),"")</f>
        <v/>
      </c>
      <c r="I139" s="44">
        <f>IFERROR(IF(H139="Monthly",INDEX('Employee Database'!$J$3:$J$202,MATCH(E139,'Employee Database'!$A$3:$A$202,0))/12,IF(H139="Weekly",INDEX('Employee Database'!$J$3:$J$202,MATCH(E139,'Employee Database'!$A$3:$A$202,0))/52,IF(H139="Fortnightly",INDEX('Employee Database'!$J$3:$J$202,MATCH(E139,'Employee Database'!$A$3:$A$202,0))/26,IF(H139="Four-weekly",INDEX('Employee Database'!$J$3:$J$202,MATCH(E139,'Employee Database'!$A$3:$A$202,0))/13,0))))),0)</f>
        <v/>
      </c>
      <c r="J139" s="45" t="n"/>
      <c r="K139" s="45" t="n"/>
      <c r="L139" s="44">
        <f>SUM(I139:K139)</f>
        <v/>
      </c>
      <c r="M139" s="45" t="n"/>
      <c r="N139" s="45" t="n"/>
      <c r="O139" s="44">
        <f>IFERROR(ROUND(L139*INDEX('Employee Database'!$L$3:$L$202,MATCH(E139,'Employee Database'!$A$3:$A$202,0))/100,2),0)</f>
        <v/>
      </c>
      <c r="P139" s="45" t="n"/>
      <c r="Q139" s="44">
        <f>SUM(M139:P139)</f>
        <v/>
      </c>
      <c r="R139" s="44">
        <f>L139-Q139</f>
        <v/>
      </c>
      <c r="S139" s="45" t="n"/>
      <c r="T139" s="44">
        <f>IFERROR(ROUND(L139*INDEX('Employee Database'!$M$3:$M$202,MATCH(E139,'Employee Database'!$A$3:$A$202,0))/100,2),0)</f>
        <v/>
      </c>
      <c r="U139" s="44">
        <f>SUM(L139,S139,T139)</f>
        <v/>
      </c>
      <c r="V139" s="46">
        <f>IF(E139="","",IF(OR(B139="",C139="",D139=""),"Missing period/date",IF(L139&lt;0,"Check gross pay",IF(R139&lt;0,"Deductions exceed gross","Review statutory amounts"))))</f>
        <v/>
      </c>
      <c r="W139" s="42" t="n"/>
      <c r="X139" s="47" t="n"/>
    </row>
    <row r="140">
      <c r="A140" s="42" t="n"/>
      <c r="B140" s="39" t="n"/>
      <c r="C140" s="39" t="n"/>
      <c r="D140" s="39" t="n"/>
      <c r="E140" s="42" t="n"/>
      <c r="F140" s="43">
        <f>IFERROR(INDEX('Employee Database'!$B$3:$B$202,MATCH(E140,'Employee Database'!$A$3:$A$202,0)),"")</f>
        <v/>
      </c>
      <c r="G140" s="43">
        <f>IFERROR(INDEX('Employee Database'!$F$3:$F$202,MATCH(E140,'Employee Database'!$A$3:$A$202,0)),"")</f>
        <v/>
      </c>
      <c r="H140" s="43">
        <f>IFERROR(INDEX('Employee Database'!$I$3:$I$202,MATCH(E140,'Employee Database'!$A$3:$A$202,0)),"")</f>
        <v/>
      </c>
      <c r="I140" s="44">
        <f>IFERROR(IF(H140="Monthly",INDEX('Employee Database'!$J$3:$J$202,MATCH(E140,'Employee Database'!$A$3:$A$202,0))/12,IF(H140="Weekly",INDEX('Employee Database'!$J$3:$J$202,MATCH(E140,'Employee Database'!$A$3:$A$202,0))/52,IF(H140="Fortnightly",INDEX('Employee Database'!$J$3:$J$202,MATCH(E140,'Employee Database'!$A$3:$A$202,0))/26,IF(H140="Four-weekly",INDEX('Employee Database'!$J$3:$J$202,MATCH(E140,'Employee Database'!$A$3:$A$202,0))/13,0))))),0)</f>
        <v/>
      </c>
      <c r="J140" s="45" t="n"/>
      <c r="K140" s="45" t="n"/>
      <c r="L140" s="44">
        <f>SUM(I140:K140)</f>
        <v/>
      </c>
      <c r="M140" s="45" t="n"/>
      <c r="N140" s="45" t="n"/>
      <c r="O140" s="44">
        <f>IFERROR(ROUND(L140*INDEX('Employee Database'!$L$3:$L$202,MATCH(E140,'Employee Database'!$A$3:$A$202,0))/100,2),0)</f>
        <v/>
      </c>
      <c r="P140" s="45" t="n"/>
      <c r="Q140" s="44">
        <f>SUM(M140:P140)</f>
        <v/>
      </c>
      <c r="R140" s="44">
        <f>L140-Q140</f>
        <v/>
      </c>
      <c r="S140" s="45" t="n"/>
      <c r="T140" s="44">
        <f>IFERROR(ROUND(L140*INDEX('Employee Database'!$M$3:$M$202,MATCH(E140,'Employee Database'!$A$3:$A$202,0))/100,2),0)</f>
        <v/>
      </c>
      <c r="U140" s="44">
        <f>SUM(L140,S140,T140)</f>
        <v/>
      </c>
      <c r="V140" s="46">
        <f>IF(E140="","",IF(OR(B140="",C140="",D140=""),"Missing period/date",IF(L140&lt;0,"Check gross pay",IF(R140&lt;0,"Deductions exceed gross","Review statutory amounts"))))</f>
        <v/>
      </c>
      <c r="W140" s="42" t="n"/>
      <c r="X140" s="47" t="n"/>
    </row>
    <row r="141">
      <c r="A141" s="42" t="n"/>
      <c r="B141" s="39" t="n"/>
      <c r="C141" s="39" t="n"/>
      <c r="D141" s="39" t="n"/>
      <c r="E141" s="42" t="n"/>
      <c r="F141" s="43">
        <f>IFERROR(INDEX('Employee Database'!$B$3:$B$202,MATCH(E141,'Employee Database'!$A$3:$A$202,0)),"")</f>
        <v/>
      </c>
      <c r="G141" s="43">
        <f>IFERROR(INDEX('Employee Database'!$F$3:$F$202,MATCH(E141,'Employee Database'!$A$3:$A$202,0)),"")</f>
        <v/>
      </c>
      <c r="H141" s="43">
        <f>IFERROR(INDEX('Employee Database'!$I$3:$I$202,MATCH(E141,'Employee Database'!$A$3:$A$202,0)),"")</f>
        <v/>
      </c>
      <c r="I141" s="44">
        <f>IFERROR(IF(H141="Monthly",INDEX('Employee Database'!$J$3:$J$202,MATCH(E141,'Employee Database'!$A$3:$A$202,0))/12,IF(H141="Weekly",INDEX('Employee Database'!$J$3:$J$202,MATCH(E141,'Employee Database'!$A$3:$A$202,0))/52,IF(H141="Fortnightly",INDEX('Employee Database'!$J$3:$J$202,MATCH(E141,'Employee Database'!$A$3:$A$202,0))/26,IF(H141="Four-weekly",INDEX('Employee Database'!$J$3:$J$202,MATCH(E141,'Employee Database'!$A$3:$A$202,0))/13,0))))),0)</f>
        <v/>
      </c>
      <c r="J141" s="45" t="n"/>
      <c r="K141" s="45" t="n"/>
      <c r="L141" s="44">
        <f>SUM(I141:K141)</f>
        <v/>
      </c>
      <c r="M141" s="45" t="n"/>
      <c r="N141" s="45" t="n"/>
      <c r="O141" s="44">
        <f>IFERROR(ROUND(L141*INDEX('Employee Database'!$L$3:$L$202,MATCH(E141,'Employee Database'!$A$3:$A$202,0))/100,2),0)</f>
        <v/>
      </c>
      <c r="P141" s="45" t="n"/>
      <c r="Q141" s="44">
        <f>SUM(M141:P141)</f>
        <v/>
      </c>
      <c r="R141" s="44">
        <f>L141-Q141</f>
        <v/>
      </c>
      <c r="S141" s="45" t="n"/>
      <c r="T141" s="44">
        <f>IFERROR(ROUND(L141*INDEX('Employee Database'!$M$3:$M$202,MATCH(E141,'Employee Database'!$A$3:$A$202,0))/100,2),0)</f>
        <v/>
      </c>
      <c r="U141" s="44">
        <f>SUM(L141,S141,T141)</f>
        <v/>
      </c>
      <c r="V141" s="46">
        <f>IF(E141="","",IF(OR(B141="",C141="",D141=""),"Missing period/date",IF(L141&lt;0,"Check gross pay",IF(R141&lt;0,"Deductions exceed gross","Review statutory amounts"))))</f>
        <v/>
      </c>
      <c r="W141" s="42" t="n"/>
      <c r="X141" s="47" t="n"/>
    </row>
    <row r="142">
      <c r="A142" s="42" t="n"/>
      <c r="B142" s="39" t="n"/>
      <c r="C142" s="39" t="n"/>
      <c r="D142" s="39" t="n"/>
      <c r="E142" s="42" t="n"/>
      <c r="F142" s="43">
        <f>IFERROR(INDEX('Employee Database'!$B$3:$B$202,MATCH(E142,'Employee Database'!$A$3:$A$202,0)),"")</f>
        <v/>
      </c>
      <c r="G142" s="43">
        <f>IFERROR(INDEX('Employee Database'!$F$3:$F$202,MATCH(E142,'Employee Database'!$A$3:$A$202,0)),"")</f>
        <v/>
      </c>
      <c r="H142" s="43">
        <f>IFERROR(INDEX('Employee Database'!$I$3:$I$202,MATCH(E142,'Employee Database'!$A$3:$A$202,0)),"")</f>
        <v/>
      </c>
      <c r="I142" s="44">
        <f>IFERROR(IF(H142="Monthly",INDEX('Employee Database'!$J$3:$J$202,MATCH(E142,'Employee Database'!$A$3:$A$202,0))/12,IF(H142="Weekly",INDEX('Employee Database'!$J$3:$J$202,MATCH(E142,'Employee Database'!$A$3:$A$202,0))/52,IF(H142="Fortnightly",INDEX('Employee Database'!$J$3:$J$202,MATCH(E142,'Employee Database'!$A$3:$A$202,0))/26,IF(H142="Four-weekly",INDEX('Employee Database'!$J$3:$J$202,MATCH(E142,'Employee Database'!$A$3:$A$202,0))/13,0))))),0)</f>
        <v/>
      </c>
      <c r="J142" s="45" t="n"/>
      <c r="K142" s="45" t="n"/>
      <c r="L142" s="44">
        <f>SUM(I142:K142)</f>
        <v/>
      </c>
      <c r="M142" s="45" t="n"/>
      <c r="N142" s="45" t="n"/>
      <c r="O142" s="44">
        <f>IFERROR(ROUND(L142*INDEX('Employee Database'!$L$3:$L$202,MATCH(E142,'Employee Database'!$A$3:$A$202,0))/100,2),0)</f>
        <v/>
      </c>
      <c r="P142" s="45" t="n"/>
      <c r="Q142" s="44">
        <f>SUM(M142:P142)</f>
        <v/>
      </c>
      <c r="R142" s="44">
        <f>L142-Q142</f>
        <v/>
      </c>
      <c r="S142" s="45" t="n"/>
      <c r="T142" s="44">
        <f>IFERROR(ROUND(L142*INDEX('Employee Database'!$M$3:$M$202,MATCH(E142,'Employee Database'!$A$3:$A$202,0))/100,2),0)</f>
        <v/>
      </c>
      <c r="U142" s="44">
        <f>SUM(L142,S142,T142)</f>
        <v/>
      </c>
      <c r="V142" s="46">
        <f>IF(E142="","",IF(OR(B142="",C142="",D142=""),"Missing period/date",IF(L142&lt;0,"Check gross pay",IF(R142&lt;0,"Deductions exceed gross","Review statutory amounts"))))</f>
        <v/>
      </c>
      <c r="W142" s="42" t="n"/>
      <c r="X142" s="47" t="n"/>
    </row>
    <row r="143">
      <c r="A143" s="42" t="n"/>
      <c r="B143" s="39" t="n"/>
      <c r="C143" s="39" t="n"/>
      <c r="D143" s="39" t="n"/>
      <c r="E143" s="42" t="n"/>
      <c r="F143" s="43">
        <f>IFERROR(INDEX('Employee Database'!$B$3:$B$202,MATCH(E143,'Employee Database'!$A$3:$A$202,0)),"")</f>
        <v/>
      </c>
      <c r="G143" s="43">
        <f>IFERROR(INDEX('Employee Database'!$F$3:$F$202,MATCH(E143,'Employee Database'!$A$3:$A$202,0)),"")</f>
        <v/>
      </c>
      <c r="H143" s="43">
        <f>IFERROR(INDEX('Employee Database'!$I$3:$I$202,MATCH(E143,'Employee Database'!$A$3:$A$202,0)),"")</f>
        <v/>
      </c>
      <c r="I143" s="44">
        <f>IFERROR(IF(H143="Monthly",INDEX('Employee Database'!$J$3:$J$202,MATCH(E143,'Employee Database'!$A$3:$A$202,0))/12,IF(H143="Weekly",INDEX('Employee Database'!$J$3:$J$202,MATCH(E143,'Employee Database'!$A$3:$A$202,0))/52,IF(H143="Fortnightly",INDEX('Employee Database'!$J$3:$J$202,MATCH(E143,'Employee Database'!$A$3:$A$202,0))/26,IF(H143="Four-weekly",INDEX('Employee Database'!$J$3:$J$202,MATCH(E143,'Employee Database'!$A$3:$A$202,0))/13,0))))),0)</f>
        <v/>
      </c>
      <c r="J143" s="45" t="n"/>
      <c r="K143" s="45" t="n"/>
      <c r="L143" s="44">
        <f>SUM(I143:K143)</f>
        <v/>
      </c>
      <c r="M143" s="45" t="n"/>
      <c r="N143" s="45" t="n"/>
      <c r="O143" s="44">
        <f>IFERROR(ROUND(L143*INDEX('Employee Database'!$L$3:$L$202,MATCH(E143,'Employee Database'!$A$3:$A$202,0))/100,2),0)</f>
        <v/>
      </c>
      <c r="P143" s="45" t="n"/>
      <c r="Q143" s="44">
        <f>SUM(M143:P143)</f>
        <v/>
      </c>
      <c r="R143" s="44">
        <f>L143-Q143</f>
        <v/>
      </c>
      <c r="S143" s="45" t="n"/>
      <c r="T143" s="44">
        <f>IFERROR(ROUND(L143*INDEX('Employee Database'!$M$3:$M$202,MATCH(E143,'Employee Database'!$A$3:$A$202,0))/100,2),0)</f>
        <v/>
      </c>
      <c r="U143" s="44">
        <f>SUM(L143,S143,T143)</f>
        <v/>
      </c>
      <c r="V143" s="46">
        <f>IF(E143="","",IF(OR(B143="",C143="",D143=""),"Missing period/date",IF(L143&lt;0,"Check gross pay",IF(R143&lt;0,"Deductions exceed gross","Review statutory amounts"))))</f>
        <v/>
      </c>
      <c r="W143" s="42" t="n"/>
      <c r="X143" s="47" t="n"/>
    </row>
    <row r="144">
      <c r="A144" s="42" t="n"/>
      <c r="B144" s="39" t="n"/>
      <c r="C144" s="39" t="n"/>
      <c r="D144" s="39" t="n"/>
      <c r="E144" s="42" t="n"/>
      <c r="F144" s="43">
        <f>IFERROR(INDEX('Employee Database'!$B$3:$B$202,MATCH(E144,'Employee Database'!$A$3:$A$202,0)),"")</f>
        <v/>
      </c>
      <c r="G144" s="43">
        <f>IFERROR(INDEX('Employee Database'!$F$3:$F$202,MATCH(E144,'Employee Database'!$A$3:$A$202,0)),"")</f>
        <v/>
      </c>
      <c r="H144" s="43">
        <f>IFERROR(INDEX('Employee Database'!$I$3:$I$202,MATCH(E144,'Employee Database'!$A$3:$A$202,0)),"")</f>
        <v/>
      </c>
      <c r="I144" s="44">
        <f>IFERROR(IF(H144="Monthly",INDEX('Employee Database'!$J$3:$J$202,MATCH(E144,'Employee Database'!$A$3:$A$202,0))/12,IF(H144="Weekly",INDEX('Employee Database'!$J$3:$J$202,MATCH(E144,'Employee Database'!$A$3:$A$202,0))/52,IF(H144="Fortnightly",INDEX('Employee Database'!$J$3:$J$202,MATCH(E144,'Employee Database'!$A$3:$A$202,0))/26,IF(H144="Four-weekly",INDEX('Employee Database'!$J$3:$J$202,MATCH(E144,'Employee Database'!$A$3:$A$202,0))/13,0))))),0)</f>
        <v/>
      </c>
      <c r="J144" s="45" t="n"/>
      <c r="K144" s="45" t="n"/>
      <c r="L144" s="44">
        <f>SUM(I144:K144)</f>
        <v/>
      </c>
      <c r="M144" s="45" t="n"/>
      <c r="N144" s="45" t="n"/>
      <c r="O144" s="44">
        <f>IFERROR(ROUND(L144*INDEX('Employee Database'!$L$3:$L$202,MATCH(E144,'Employee Database'!$A$3:$A$202,0))/100,2),0)</f>
        <v/>
      </c>
      <c r="P144" s="45" t="n"/>
      <c r="Q144" s="44">
        <f>SUM(M144:P144)</f>
        <v/>
      </c>
      <c r="R144" s="44">
        <f>L144-Q144</f>
        <v/>
      </c>
      <c r="S144" s="45" t="n"/>
      <c r="T144" s="44">
        <f>IFERROR(ROUND(L144*INDEX('Employee Database'!$M$3:$M$202,MATCH(E144,'Employee Database'!$A$3:$A$202,0))/100,2),0)</f>
        <v/>
      </c>
      <c r="U144" s="44">
        <f>SUM(L144,S144,T144)</f>
        <v/>
      </c>
      <c r="V144" s="46">
        <f>IF(E144="","",IF(OR(B144="",C144="",D144=""),"Missing period/date",IF(L144&lt;0,"Check gross pay",IF(R144&lt;0,"Deductions exceed gross","Review statutory amounts"))))</f>
        <v/>
      </c>
      <c r="W144" s="42" t="n"/>
      <c r="X144" s="47" t="n"/>
    </row>
    <row r="145">
      <c r="A145" s="42" t="n"/>
      <c r="B145" s="39" t="n"/>
      <c r="C145" s="39" t="n"/>
      <c r="D145" s="39" t="n"/>
      <c r="E145" s="42" t="n"/>
      <c r="F145" s="43">
        <f>IFERROR(INDEX('Employee Database'!$B$3:$B$202,MATCH(E145,'Employee Database'!$A$3:$A$202,0)),"")</f>
        <v/>
      </c>
      <c r="G145" s="43">
        <f>IFERROR(INDEX('Employee Database'!$F$3:$F$202,MATCH(E145,'Employee Database'!$A$3:$A$202,0)),"")</f>
        <v/>
      </c>
      <c r="H145" s="43">
        <f>IFERROR(INDEX('Employee Database'!$I$3:$I$202,MATCH(E145,'Employee Database'!$A$3:$A$202,0)),"")</f>
        <v/>
      </c>
      <c r="I145" s="44">
        <f>IFERROR(IF(H145="Monthly",INDEX('Employee Database'!$J$3:$J$202,MATCH(E145,'Employee Database'!$A$3:$A$202,0))/12,IF(H145="Weekly",INDEX('Employee Database'!$J$3:$J$202,MATCH(E145,'Employee Database'!$A$3:$A$202,0))/52,IF(H145="Fortnightly",INDEX('Employee Database'!$J$3:$J$202,MATCH(E145,'Employee Database'!$A$3:$A$202,0))/26,IF(H145="Four-weekly",INDEX('Employee Database'!$J$3:$J$202,MATCH(E145,'Employee Database'!$A$3:$A$202,0))/13,0))))),0)</f>
        <v/>
      </c>
      <c r="J145" s="45" t="n"/>
      <c r="K145" s="45" t="n"/>
      <c r="L145" s="44">
        <f>SUM(I145:K145)</f>
        <v/>
      </c>
      <c r="M145" s="45" t="n"/>
      <c r="N145" s="45" t="n"/>
      <c r="O145" s="44">
        <f>IFERROR(ROUND(L145*INDEX('Employee Database'!$L$3:$L$202,MATCH(E145,'Employee Database'!$A$3:$A$202,0))/100,2),0)</f>
        <v/>
      </c>
      <c r="P145" s="45" t="n"/>
      <c r="Q145" s="44">
        <f>SUM(M145:P145)</f>
        <v/>
      </c>
      <c r="R145" s="44">
        <f>L145-Q145</f>
        <v/>
      </c>
      <c r="S145" s="45" t="n"/>
      <c r="T145" s="44">
        <f>IFERROR(ROUND(L145*INDEX('Employee Database'!$M$3:$M$202,MATCH(E145,'Employee Database'!$A$3:$A$202,0))/100,2),0)</f>
        <v/>
      </c>
      <c r="U145" s="44">
        <f>SUM(L145,S145,T145)</f>
        <v/>
      </c>
      <c r="V145" s="46">
        <f>IF(E145="","",IF(OR(B145="",C145="",D145=""),"Missing period/date",IF(L145&lt;0,"Check gross pay",IF(R145&lt;0,"Deductions exceed gross","Review statutory amounts"))))</f>
        <v/>
      </c>
      <c r="W145" s="42" t="n"/>
      <c r="X145" s="47" t="n"/>
    </row>
    <row r="146">
      <c r="A146" s="42" t="n"/>
      <c r="B146" s="39" t="n"/>
      <c r="C146" s="39" t="n"/>
      <c r="D146" s="39" t="n"/>
      <c r="E146" s="42" t="n"/>
      <c r="F146" s="43">
        <f>IFERROR(INDEX('Employee Database'!$B$3:$B$202,MATCH(E146,'Employee Database'!$A$3:$A$202,0)),"")</f>
        <v/>
      </c>
      <c r="G146" s="43">
        <f>IFERROR(INDEX('Employee Database'!$F$3:$F$202,MATCH(E146,'Employee Database'!$A$3:$A$202,0)),"")</f>
        <v/>
      </c>
      <c r="H146" s="43">
        <f>IFERROR(INDEX('Employee Database'!$I$3:$I$202,MATCH(E146,'Employee Database'!$A$3:$A$202,0)),"")</f>
        <v/>
      </c>
      <c r="I146" s="44">
        <f>IFERROR(IF(H146="Monthly",INDEX('Employee Database'!$J$3:$J$202,MATCH(E146,'Employee Database'!$A$3:$A$202,0))/12,IF(H146="Weekly",INDEX('Employee Database'!$J$3:$J$202,MATCH(E146,'Employee Database'!$A$3:$A$202,0))/52,IF(H146="Fortnightly",INDEX('Employee Database'!$J$3:$J$202,MATCH(E146,'Employee Database'!$A$3:$A$202,0))/26,IF(H146="Four-weekly",INDEX('Employee Database'!$J$3:$J$202,MATCH(E146,'Employee Database'!$A$3:$A$202,0))/13,0))))),0)</f>
        <v/>
      </c>
      <c r="J146" s="45" t="n"/>
      <c r="K146" s="45" t="n"/>
      <c r="L146" s="44">
        <f>SUM(I146:K146)</f>
        <v/>
      </c>
      <c r="M146" s="45" t="n"/>
      <c r="N146" s="45" t="n"/>
      <c r="O146" s="44">
        <f>IFERROR(ROUND(L146*INDEX('Employee Database'!$L$3:$L$202,MATCH(E146,'Employee Database'!$A$3:$A$202,0))/100,2),0)</f>
        <v/>
      </c>
      <c r="P146" s="45" t="n"/>
      <c r="Q146" s="44">
        <f>SUM(M146:P146)</f>
        <v/>
      </c>
      <c r="R146" s="44">
        <f>L146-Q146</f>
        <v/>
      </c>
      <c r="S146" s="45" t="n"/>
      <c r="T146" s="44">
        <f>IFERROR(ROUND(L146*INDEX('Employee Database'!$M$3:$M$202,MATCH(E146,'Employee Database'!$A$3:$A$202,0))/100,2),0)</f>
        <v/>
      </c>
      <c r="U146" s="44">
        <f>SUM(L146,S146,T146)</f>
        <v/>
      </c>
      <c r="V146" s="46">
        <f>IF(E146="","",IF(OR(B146="",C146="",D146=""),"Missing period/date",IF(L146&lt;0,"Check gross pay",IF(R146&lt;0,"Deductions exceed gross","Review statutory amounts"))))</f>
        <v/>
      </c>
      <c r="W146" s="42" t="n"/>
      <c r="X146" s="47" t="n"/>
    </row>
    <row r="147">
      <c r="A147" s="42" t="n"/>
      <c r="B147" s="39" t="n"/>
      <c r="C147" s="39" t="n"/>
      <c r="D147" s="39" t="n"/>
      <c r="E147" s="42" t="n"/>
      <c r="F147" s="43">
        <f>IFERROR(INDEX('Employee Database'!$B$3:$B$202,MATCH(E147,'Employee Database'!$A$3:$A$202,0)),"")</f>
        <v/>
      </c>
      <c r="G147" s="43">
        <f>IFERROR(INDEX('Employee Database'!$F$3:$F$202,MATCH(E147,'Employee Database'!$A$3:$A$202,0)),"")</f>
        <v/>
      </c>
      <c r="H147" s="43">
        <f>IFERROR(INDEX('Employee Database'!$I$3:$I$202,MATCH(E147,'Employee Database'!$A$3:$A$202,0)),"")</f>
        <v/>
      </c>
      <c r="I147" s="44">
        <f>IFERROR(IF(H147="Monthly",INDEX('Employee Database'!$J$3:$J$202,MATCH(E147,'Employee Database'!$A$3:$A$202,0))/12,IF(H147="Weekly",INDEX('Employee Database'!$J$3:$J$202,MATCH(E147,'Employee Database'!$A$3:$A$202,0))/52,IF(H147="Fortnightly",INDEX('Employee Database'!$J$3:$J$202,MATCH(E147,'Employee Database'!$A$3:$A$202,0))/26,IF(H147="Four-weekly",INDEX('Employee Database'!$J$3:$J$202,MATCH(E147,'Employee Database'!$A$3:$A$202,0))/13,0))))),0)</f>
        <v/>
      </c>
      <c r="J147" s="45" t="n"/>
      <c r="K147" s="45" t="n"/>
      <c r="L147" s="44">
        <f>SUM(I147:K147)</f>
        <v/>
      </c>
      <c r="M147" s="45" t="n"/>
      <c r="N147" s="45" t="n"/>
      <c r="O147" s="44">
        <f>IFERROR(ROUND(L147*INDEX('Employee Database'!$L$3:$L$202,MATCH(E147,'Employee Database'!$A$3:$A$202,0))/100,2),0)</f>
        <v/>
      </c>
      <c r="P147" s="45" t="n"/>
      <c r="Q147" s="44">
        <f>SUM(M147:P147)</f>
        <v/>
      </c>
      <c r="R147" s="44">
        <f>L147-Q147</f>
        <v/>
      </c>
      <c r="S147" s="45" t="n"/>
      <c r="T147" s="44">
        <f>IFERROR(ROUND(L147*INDEX('Employee Database'!$M$3:$M$202,MATCH(E147,'Employee Database'!$A$3:$A$202,0))/100,2),0)</f>
        <v/>
      </c>
      <c r="U147" s="44">
        <f>SUM(L147,S147,T147)</f>
        <v/>
      </c>
      <c r="V147" s="46">
        <f>IF(E147="","",IF(OR(B147="",C147="",D147=""),"Missing period/date",IF(L147&lt;0,"Check gross pay",IF(R147&lt;0,"Deductions exceed gross","Review statutory amounts"))))</f>
        <v/>
      </c>
      <c r="W147" s="42" t="n"/>
      <c r="X147" s="47" t="n"/>
    </row>
    <row r="148">
      <c r="A148" s="42" t="n"/>
      <c r="B148" s="39" t="n"/>
      <c r="C148" s="39" t="n"/>
      <c r="D148" s="39" t="n"/>
      <c r="E148" s="42" t="n"/>
      <c r="F148" s="43">
        <f>IFERROR(INDEX('Employee Database'!$B$3:$B$202,MATCH(E148,'Employee Database'!$A$3:$A$202,0)),"")</f>
        <v/>
      </c>
      <c r="G148" s="43">
        <f>IFERROR(INDEX('Employee Database'!$F$3:$F$202,MATCH(E148,'Employee Database'!$A$3:$A$202,0)),"")</f>
        <v/>
      </c>
      <c r="H148" s="43">
        <f>IFERROR(INDEX('Employee Database'!$I$3:$I$202,MATCH(E148,'Employee Database'!$A$3:$A$202,0)),"")</f>
        <v/>
      </c>
      <c r="I148" s="44">
        <f>IFERROR(IF(H148="Monthly",INDEX('Employee Database'!$J$3:$J$202,MATCH(E148,'Employee Database'!$A$3:$A$202,0))/12,IF(H148="Weekly",INDEX('Employee Database'!$J$3:$J$202,MATCH(E148,'Employee Database'!$A$3:$A$202,0))/52,IF(H148="Fortnightly",INDEX('Employee Database'!$J$3:$J$202,MATCH(E148,'Employee Database'!$A$3:$A$202,0))/26,IF(H148="Four-weekly",INDEX('Employee Database'!$J$3:$J$202,MATCH(E148,'Employee Database'!$A$3:$A$202,0))/13,0))))),0)</f>
        <v/>
      </c>
      <c r="J148" s="45" t="n"/>
      <c r="K148" s="45" t="n"/>
      <c r="L148" s="44">
        <f>SUM(I148:K148)</f>
        <v/>
      </c>
      <c r="M148" s="45" t="n"/>
      <c r="N148" s="45" t="n"/>
      <c r="O148" s="44">
        <f>IFERROR(ROUND(L148*INDEX('Employee Database'!$L$3:$L$202,MATCH(E148,'Employee Database'!$A$3:$A$202,0))/100,2),0)</f>
        <v/>
      </c>
      <c r="P148" s="45" t="n"/>
      <c r="Q148" s="44">
        <f>SUM(M148:P148)</f>
        <v/>
      </c>
      <c r="R148" s="44">
        <f>L148-Q148</f>
        <v/>
      </c>
      <c r="S148" s="45" t="n"/>
      <c r="T148" s="44">
        <f>IFERROR(ROUND(L148*INDEX('Employee Database'!$M$3:$M$202,MATCH(E148,'Employee Database'!$A$3:$A$202,0))/100,2),0)</f>
        <v/>
      </c>
      <c r="U148" s="44">
        <f>SUM(L148,S148,T148)</f>
        <v/>
      </c>
      <c r="V148" s="46">
        <f>IF(E148="","",IF(OR(B148="",C148="",D148=""),"Missing period/date",IF(L148&lt;0,"Check gross pay",IF(R148&lt;0,"Deductions exceed gross","Review statutory amounts"))))</f>
        <v/>
      </c>
      <c r="W148" s="42" t="n"/>
      <c r="X148" s="47" t="n"/>
    </row>
    <row r="149">
      <c r="A149" s="42" t="n"/>
      <c r="B149" s="39" t="n"/>
      <c r="C149" s="39" t="n"/>
      <c r="D149" s="39" t="n"/>
      <c r="E149" s="42" t="n"/>
      <c r="F149" s="43">
        <f>IFERROR(INDEX('Employee Database'!$B$3:$B$202,MATCH(E149,'Employee Database'!$A$3:$A$202,0)),"")</f>
        <v/>
      </c>
      <c r="G149" s="43">
        <f>IFERROR(INDEX('Employee Database'!$F$3:$F$202,MATCH(E149,'Employee Database'!$A$3:$A$202,0)),"")</f>
        <v/>
      </c>
      <c r="H149" s="43">
        <f>IFERROR(INDEX('Employee Database'!$I$3:$I$202,MATCH(E149,'Employee Database'!$A$3:$A$202,0)),"")</f>
        <v/>
      </c>
      <c r="I149" s="44">
        <f>IFERROR(IF(H149="Monthly",INDEX('Employee Database'!$J$3:$J$202,MATCH(E149,'Employee Database'!$A$3:$A$202,0))/12,IF(H149="Weekly",INDEX('Employee Database'!$J$3:$J$202,MATCH(E149,'Employee Database'!$A$3:$A$202,0))/52,IF(H149="Fortnightly",INDEX('Employee Database'!$J$3:$J$202,MATCH(E149,'Employee Database'!$A$3:$A$202,0))/26,IF(H149="Four-weekly",INDEX('Employee Database'!$J$3:$J$202,MATCH(E149,'Employee Database'!$A$3:$A$202,0))/13,0))))),0)</f>
        <v/>
      </c>
      <c r="J149" s="45" t="n"/>
      <c r="K149" s="45" t="n"/>
      <c r="L149" s="44">
        <f>SUM(I149:K149)</f>
        <v/>
      </c>
      <c r="M149" s="45" t="n"/>
      <c r="N149" s="45" t="n"/>
      <c r="O149" s="44">
        <f>IFERROR(ROUND(L149*INDEX('Employee Database'!$L$3:$L$202,MATCH(E149,'Employee Database'!$A$3:$A$202,0))/100,2),0)</f>
        <v/>
      </c>
      <c r="P149" s="45" t="n"/>
      <c r="Q149" s="44">
        <f>SUM(M149:P149)</f>
        <v/>
      </c>
      <c r="R149" s="44">
        <f>L149-Q149</f>
        <v/>
      </c>
      <c r="S149" s="45" t="n"/>
      <c r="T149" s="44">
        <f>IFERROR(ROUND(L149*INDEX('Employee Database'!$M$3:$M$202,MATCH(E149,'Employee Database'!$A$3:$A$202,0))/100,2),0)</f>
        <v/>
      </c>
      <c r="U149" s="44">
        <f>SUM(L149,S149,T149)</f>
        <v/>
      </c>
      <c r="V149" s="46">
        <f>IF(E149="","",IF(OR(B149="",C149="",D149=""),"Missing period/date",IF(L149&lt;0,"Check gross pay",IF(R149&lt;0,"Deductions exceed gross","Review statutory amounts"))))</f>
        <v/>
      </c>
      <c r="W149" s="42" t="n"/>
      <c r="X149" s="47" t="n"/>
    </row>
    <row r="150">
      <c r="A150" s="42" t="n"/>
      <c r="B150" s="39" t="n"/>
      <c r="C150" s="39" t="n"/>
      <c r="D150" s="39" t="n"/>
      <c r="E150" s="42" t="n"/>
      <c r="F150" s="43">
        <f>IFERROR(INDEX('Employee Database'!$B$3:$B$202,MATCH(E150,'Employee Database'!$A$3:$A$202,0)),"")</f>
        <v/>
      </c>
      <c r="G150" s="43">
        <f>IFERROR(INDEX('Employee Database'!$F$3:$F$202,MATCH(E150,'Employee Database'!$A$3:$A$202,0)),"")</f>
        <v/>
      </c>
      <c r="H150" s="43">
        <f>IFERROR(INDEX('Employee Database'!$I$3:$I$202,MATCH(E150,'Employee Database'!$A$3:$A$202,0)),"")</f>
        <v/>
      </c>
      <c r="I150" s="44">
        <f>IFERROR(IF(H150="Monthly",INDEX('Employee Database'!$J$3:$J$202,MATCH(E150,'Employee Database'!$A$3:$A$202,0))/12,IF(H150="Weekly",INDEX('Employee Database'!$J$3:$J$202,MATCH(E150,'Employee Database'!$A$3:$A$202,0))/52,IF(H150="Fortnightly",INDEX('Employee Database'!$J$3:$J$202,MATCH(E150,'Employee Database'!$A$3:$A$202,0))/26,IF(H150="Four-weekly",INDEX('Employee Database'!$J$3:$J$202,MATCH(E150,'Employee Database'!$A$3:$A$202,0))/13,0))))),0)</f>
        <v/>
      </c>
      <c r="J150" s="45" t="n"/>
      <c r="K150" s="45" t="n"/>
      <c r="L150" s="44">
        <f>SUM(I150:K150)</f>
        <v/>
      </c>
      <c r="M150" s="45" t="n"/>
      <c r="N150" s="45" t="n"/>
      <c r="O150" s="44">
        <f>IFERROR(ROUND(L150*INDEX('Employee Database'!$L$3:$L$202,MATCH(E150,'Employee Database'!$A$3:$A$202,0))/100,2),0)</f>
        <v/>
      </c>
      <c r="P150" s="45" t="n"/>
      <c r="Q150" s="44">
        <f>SUM(M150:P150)</f>
        <v/>
      </c>
      <c r="R150" s="44">
        <f>L150-Q150</f>
        <v/>
      </c>
      <c r="S150" s="45" t="n"/>
      <c r="T150" s="44">
        <f>IFERROR(ROUND(L150*INDEX('Employee Database'!$M$3:$M$202,MATCH(E150,'Employee Database'!$A$3:$A$202,0))/100,2),0)</f>
        <v/>
      </c>
      <c r="U150" s="44">
        <f>SUM(L150,S150,T150)</f>
        <v/>
      </c>
      <c r="V150" s="46">
        <f>IF(E150="","",IF(OR(B150="",C150="",D150=""),"Missing period/date",IF(L150&lt;0,"Check gross pay",IF(R150&lt;0,"Deductions exceed gross","Review statutory amounts"))))</f>
        <v/>
      </c>
      <c r="W150" s="42" t="n"/>
      <c r="X150" s="47" t="n"/>
    </row>
    <row r="151">
      <c r="A151" s="42" t="n"/>
      <c r="B151" s="39" t="n"/>
      <c r="C151" s="39" t="n"/>
      <c r="D151" s="39" t="n"/>
      <c r="E151" s="42" t="n"/>
      <c r="F151" s="43">
        <f>IFERROR(INDEX('Employee Database'!$B$3:$B$202,MATCH(E151,'Employee Database'!$A$3:$A$202,0)),"")</f>
        <v/>
      </c>
      <c r="G151" s="43">
        <f>IFERROR(INDEX('Employee Database'!$F$3:$F$202,MATCH(E151,'Employee Database'!$A$3:$A$202,0)),"")</f>
        <v/>
      </c>
      <c r="H151" s="43">
        <f>IFERROR(INDEX('Employee Database'!$I$3:$I$202,MATCH(E151,'Employee Database'!$A$3:$A$202,0)),"")</f>
        <v/>
      </c>
      <c r="I151" s="44">
        <f>IFERROR(IF(H151="Monthly",INDEX('Employee Database'!$J$3:$J$202,MATCH(E151,'Employee Database'!$A$3:$A$202,0))/12,IF(H151="Weekly",INDEX('Employee Database'!$J$3:$J$202,MATCH(E151,'Employee Database'!$A$3:$A$202,0))/52,IF(H151="Fortnightly",INDEX('Employee Database'!$J$3:$J$202,MATCH(E151,'Employee Database'!$A$3:$A$202,0))/26,IF(H151="Four-weekly",INDEX('Employee Database'!$J$3:$J$202,MATCH(E151,'Employee Database'!$A$3:$A$202,0))/13,0))))),0)</f>
        <v/>
      </c>
      <c r="J151" s="45" t="n"/>
      <c r="K151" s="45" t="n"/>
      <c r="L151" s="44">
        <f>SUM(I151:K151)</f>
        <v/>
      </c>
      <c r="M151" s="45" t="n"/>
      <c r="N151" s="45" t="n"/>
      <c r="O151" s="44">
        <f>IFERROR(ROUND(L151*INDEX('Employee Database'!$L$3:$L$202,MATCH(E151,'Employee Database'!$A$3:$A$202,0))/100,2),0)</f>
        <v/>
      </c>
      <c r="P151" s="45" t="n"/>
      <c r="Q151" s="44">
        <f>SUM(M151:P151)</f>
        <v/>
      </c>
      <c r="R151" s="44">
        <f>L151-Q151</f>
        <v/>
      </c>
      <c r="S151" s="45" t="n"/>
      <c r="T151" s="44">
        <f>IFERROR(ROUND(L151*INDEX('Employee Database'!$M$3:$M$202,MATCH(E151,'Employee Database'!$A$3:$A$202,0))/100,2),0)</f>
        <v/>
      </c>
      <c r="U151" s="44">
        <f>SUM(L151,S151,T151)</f>
        <v/>
      </c>
      <c r="V151" s="46">
        <f>IF(E151="","",IF(OR(B151="",C151="",D151=""),"Missing period/date",IF(L151&lt;0,"Check gross pay",IF(R151&lt;0,"Deductions exceed gross","Review statutory amounts"))))</f>
        <v/>
      </c>
      <c r="W151" s="42" t="n"/>
      <c r="X151" s="47" t="n"/>
    </row>
    <row r="152">
      <c r="A152" s="42" t="n"/>
      <c r="B152" s="39" t="n"/>
      <c r="C152" s="39" t="n"/>
      <c r="D152" s="39" t="n"/>
      <c r="E152" s="42" t="n"/>
      <c r="F152" s="43">
        <f>IFERROR(INDEX('Employee Database'!$B$3:$B$202,MATCH(E152,'Employee Database'!$A$3:$A$202,0)),"")</f>
        <v/>
      </c>
      <c r="G152" s="43">
        <f>IFERROR(INDEX('Employee Database'!$F$3:$F$202,MATCH(E152,'Employee Database'!$A$3:$A$202,0)),"")</f>
        <v/>
      </c>
      <c r="H152" s="43">
        <f>IFERROR(INDEX('Employee Database'!$I$3:$I$202,MATCH(E152,'Employee Database'!$A$3:$A$202,0)),"")</f>
        <v/>
      </c>
      <c r="I152" s="44">
        <f>IFERROR(IF(H152="Monthly",INDEX('Employee Database'!$J$3:$J$202,MATCH(E152,'Employee Database'!$A$3:$A$202,0))/12,IF(H152="Weekly",INDEX('Employee Database'!$J$3:$J$202,MATCH(E152,'Employee Database'!$A$3:$A$202,0))/52,IF(H152="Fortnightly",INDEX('Employee Database'!$J$3:$J$202,MATCH(E152,'Employee Database'!$A$3:$A$202,0))/26,IF(H152="Four-weekly",INDEX('Employee Database'!$J$3:$J$202,MATCH(E152,'Employee Database'!$A$3:$A$202,0))/13,0))))),0)</f>
        <v/>
      </c>
      <c r="J152" s="45" t="n"/>
      <c r="K152" s="45" t="n"/>
      <c r="L152" s="44">
        <f>SUM(I152:K152)</f>
        <v/>
      </c>
      <c r="M152" s="45" t="n"/>
      <c r="N152" s="45" t="n"/>
      <c r="O152" s="44">
        <f>IFERROR(ROUND(L152*INDEX('Employee Database'!$L$3:$L$202,MATCH(E152,'Employee Database'!$A$3:$A$202,0))/100,2),0)</f>
        <v/>
      </c>
      <c r="P152" s="45" t="n"/>
      <c r="Q152" s="44">
        <f>SUM(M152:P152)</f>
        <v/>
      </c>
      <c r="R152" s="44">
        <f>L152-Q152</f>
        <v/>
      </c>
      <c r="S152" s="45" t="n"/>
      <c r="T152" s="44">
        <f>IFERROR(ROUND(L152*INDEX('Employee Database'!$M$3:$M$202,MATCH(E152,'Employee Database'!$A$3:$A$202,0))/100,2),0)</f>
        <v/>
      </c>
      <c r="U152" s="44">
        <f>SUM(L152,S152,T152)</f>
        <v/>
      </c>
      <c r="V152" s="46">
        <f>IF(E152="","",IF(OR(B152="",C152="",D152=""),"Missing period/date",IF(L152&lt;0,"Check gross pay",IF(R152&lt;0,"Deductions exceed gross","Review statutory amounts"))))</f>
        <v/>
      </c>
      <c r="W152" s="42" t="n"/>
      <c r="X152" s="47" t="n"/>
    </row>
    <row r="153">
      <c r="A153" s="42" t="n"/>
      <c r="B153" s="39" t="n"/>
      <c r="C153" s="39" t="n"/>
      <c r="D153" s="39" t="n"/>
      <c r="E153" s="42" t="n"/>
      <c r="F153" s="43">
        <f>IFERROR(INDEX('Employee Database'!$B$3:$B$202,MATCH(E153,'Employee Database'!$A$3:$A$202,0)),"")</f>
        <v/>
      </c>
      <c r="G153" s="43">
        <f>IFERROR(INDEX('Employee Database'!$F$3:$F$202,MATCH(E153,'Employee Database'!$A$3:$A$202,0)),"")</f>
        <v/>
      </c>
      <c r="H153" s="43">
        <f>IFERROR(INDEX('Employee Database'!$I$3:$I$202,MATCH(E153,'Employee Database'!$A$3:$A$202,0)),"")</f>
        <v/>
      </c>
      <c r="I153" s="44">
        <f>IFERROR(IF(H153="Monthly",INDEX('Employee Database'!$J$3:$J$202,MATCH(E153,'Employee Database'!$A$3:$A$202,0))/12,IF(H153="Weekly",INDEX('Employee Database'!$J$3:$J$202,MATCH(E153,'Employee Database'!$A$3:$A$202,0))/52,IF(H153="Fortnightly",INDEX('Employee Database'!$J$3:$J$202,MATCH(E153,'Employee Database'!$A$3:$A$202,0))/26,IF(H153="Four-weekly",INDEX('Employee Database'!$J$3:$J$202,MATCH(E153,'Employee Database'!$A$3:$A$202,0))/13,0))))),0)</f>
        <v/>
      </c>
      <c r="J153" s="45" t="n"/>
      <c r="K153" s="45" t="n"/>
      <c r="L153" s="44">
        <f>SUM(I153:K153)</f>
        <v/>
      </c>
      <c r="M153" s="45" t="n"/>
      <c r="N153" s="45" t="n"/>
      <c r="O153" s="44">
        <f>IFERROR(ROUND(L153*INDEX('Employee Database'!$L$3:$L$202,MATCH(E153,'Employee Database'!$A$3:$A$202,0))/100,2),0)</f>
        <v/>
      </c>
      <c r="P153" s="45" t="n"/>
      <c r="Q153" s="44">
        <f>SUM(M153:P153)</f>
        <v/>
      </c>
      <c r="R153" s="44">
        <f>L153-Q153</f>
        <v/>
      </c>
      <c r="S153" s="45" t="n"/>
      <c r="T153" s="44">
        <f>IFERROR(ROUND(L153*INDEX('Employee Database'!$M$3:$M$202,MATCH(E153,'Employee Database'!$A$3:$A$202,0))/100,2),0)</f>
        <v/>
      </c>
      <c r="U153" s="44">
        <f>SUM(L153,S153,T153)</f>
        <v/>
      </c>
      <c r="V153" s="46">
        <f>IF(E153="","",IF(OR(B153="",C153="",D153=""),"Missing period/date",IF(L153&lt;0,"Check gross pay",IF(R153&lt;0,"Deductions exceed gross","Review statutory amounts"))))</f>
        <v/>
      </c>
      <c r="W153" s="42" t="n"/>
      <c r="X153" s="47" t="n"/>
    </row>
    <row r="154">
      <c r="A154" s="42" t="n"/>
      <c r="B154" s="39" t="n"/>
      <c r="C154" s="39" t="n"/>
      <c r="D154" s="39" t="n"/>
      <c r="E154" s="42" t="n"/>
      <c r="F154" s="43">
        <f>IFERROR(INDEX('Employee Database'!$B$3:$B$202,MATCH(E154,'Employee Database'!$A$3:$A$202,0)),"")</f>
        <v/>
      </c>
      <c r="G154" s="43">
        <f>IFERROR(INDEX('Employee Database'!$F$3:$F$202,MATCH(E154,'Employee Database'!$A$3:$A$202,0)),"")</f>
        <v/>
      </c>
      <c r="H154" s="43">
        <f>IFERROR(INDEX('Employee Database'!$I$3:$I$202,MATCH(E154,'Employee Database'!$A$3:$A$202,0)),"")</f>
        <v/>
      </c>
      <c r="I154" s="44">
        <f>IFERROR(IF(H154="Monthly",INDEX('Employee Database'!$J$3:$J$202,MATCH(E154,'Employee Database'!$A$3:$A$202,0))/12,IF(H154="Weekly",INDEX('Employee Database'!$J$3:$J$202,MATCH(E154,'Employee Database'!$A$3:$A$202,0))/52,IF(H154="Fortnightly",INDEX('Employee Database'!$J$3:$J$202,MATCH(E154,'Employee Database'!$A$3:$A$202,0))/26,IF(H154="Four-weekly",INDEX('Employee Database'!$J$3:$J$202,MATCH(E154,'Employee Database'!$A$3:$A$202,0))/13,0))))),0)</f>
        <v/>
      </c>
      <c r="J154" s="45" t="n"/>
      <c r="K154" s="45" t="n"/>
      <c r="L154" s="44">
        <f>SUM(I154:K154)</f>
        <v/>
      </c>
      <c r="M154" s="45" t="n"/>
      <c r="N154" s="45" t="n"/>
      <c r="O154" s="44">
        <f>IFERROR(ROUND(L154*INDEX('Employee Database'!$L$3:$L$202,MATCH(E154,'Employee Database'!$A$3:$A$202,0))/100,2),0)</f>
        <v/>
      </c>
      <c r="P154" s="45" t="n"/>
      <c r="Q154" s="44">
        <f>SUM(M154:P154)</f>
        <v/>
      </c>
      <c r="R154" s="44">
        <f>L154-Q154</f>
        <v/>
      </c>
      <c r="S154" s="45" t="n"/>
      <c r="T154" s="44">
        <f>IFERROR(ROUND(L154*INDEX('Employee Database'!$M$3:$M$202,MATCH(E154,'Employee Database'!$A$3:$A$202,0))/100,2),0)</f>
        <v/>
      </c>
      <c r="U154" s="44">
        <f>SUM(L154,S154,T154)</f>
        <v/>
      </c>
      <c r="V154" s="46">
        <f>IF(E154="","",IF(OR(B154="",C154="",D154=""),"Missing period/date",IF(L154&lt;0,"Check gross pay",IF(R154&lt;0,"Deductions exceed gross","Review statutory amounts"))))</f>
        <v/>
      </c>
      <c r="W154" s="42" t="n"/>
      <c r="X154" s="47" t="n"/>
    </row>
    <row r="155">
      <c r="A155" s="42" t="n"/>
      <c r="B155" s="39" t="n"/>
      <c r="C155" s="39" t="n"/>
      <c r="D155" s="39" t="n"/>
      <c r="E155" s="42" t="n"/>
      <c r="F155" s="43">
        <f>IFERROR(INDEX('Employee Database'!$B$3:$B$202,MATCH(E155,'Employee Database'!$A$3:$A$202,0)),"")</f>
        <v/>
      </c>
      <c r="G155" s="43">
        <f>IFERROR(INDEX('Employee Database'!$F$3:$F$202,MATCH(E155,'Employee Database'!$A$3:$A$202,0)),"")</f>
        <v/>
      </c>
      <c r="H155" s="43">
        <f>IFERROR(INDEX('Employee Database'!$I$3:$I$202,MATCH(E155,'Employee Database'!$A$3:$A$202,0)),"")</f>
        <v/>
      </c>
      <c r="I155" s="44">
        <f>IFERROR(IF(H155="Monthly",INDEX('Employee Database'!$J$3:$J$202,MATCH(E155,'Employee Database'!$A$3:$A$202,0))/12,IF(H155="Weekly",INDEX('Employee Database'!$J$3:$J$202,MATCH(E155,'Employee Database'!$A$3:$A$202,0))/52,IF(H155="Fortnightly",INDEX('Employee Database'!$J$3:$J$202,MATCH(E155,'Employee Database'!$A$3:$A$202,0))/26,IF(H155="Four-weekly",INDEX('Employee Database'!$J$3:$J$202,MATCH(E155,'Employee Database'!$A$3:$A$202,0))/13,0))))),0)</f>
        <v/>
      </c>
      <c r="J155" s="45" t="n"/>
      <c r="K155" s="45" t="n"/>
      <c r="L155" s="44">
        <f>SUM(I155:K155)</f>
        <v/>
      </c>
      <c r="M155" s="45" t="n"/>
      <c r="N155" s="45" t="n"/>
      <c r="O155" s="44">
        <f>IFERROR(ROUND(L155*INDEX('Employee Database'!$L$3:$L$202,MATCH(E155,'Employee Database'!$A$3:$A$202,0))/100,2),0)</f>
        <v/>
      </c>
      <c r="P155" s="45" t="n"/>
      <c r="Q155" s="44">
        <f>SUM(M155:P155)</f>
        <v/>
      </c>
      <c r="R155" s="44">
        <f>L155-Q155</f>
        <v/>
      </c>
      <c r="S155" s="45" t="n"/>
      <c r="T155" s="44">
        <f>IFERROR(ROUND(L155*INDEX('Employee Database'!$M$3:$M$202,MATCH(E155,'Employee Database'!$A$3:$A$202,0))/100,2),0)</f>
        <v/>
      </c>
      <c r="U155" s="44">
        <f>SUM(L155,S155,T155)</f>
        <v/>
      </c>
      <c r="V155" s="46">
        <f>IF(E155="","",IF(OR(B155="",C155="",D155=""),"Missing period/date",IF(L155&lt;0,"Check gross pay",IF(R155&lt;0,"Deductions exceed gross","Review statutory amounts"))))</f>
        <v/>
      </c>
      <c r="W155" s="42" t="n"/>
      <c r="X155" s="47" t="n"/>
    </row>
    <row r="156">
      <c r="A156" s="42" t="n"/>
      <c r="B156" s="39" t="n"/>
      <c r="C156" s="39" t="n"/>
      <c r="D156" s="39" t="n"/>
      <c r="E156" s="42" t="n"/>
      <c r="F156" s="43">
        <f>IFERROR(INDEX('Employee Database'!$B$3:$B$202,MATCH(E156,'Employee Database'!$A$3:$A$202,0)),"")</f>
        <v/>
      </c>
      <c r="G156" s="43">
        <f>IFERROR(INDEX('Employee Database'!$F$3:$F$202,MATCH(E156,'Employee Database'!$A$3:$A$202,0)),"")</f>
        <v/>
      </c>
      <c r="H156" s="43">
        <f>IFERROR(INDEX('Employee Database'!$I$3:$I$202,MATCH(E156,'Employee Database'!$A$3:$A$202,0)),"")</f>
        <v/>
      </c>
      <c r="I156" s="44">
        <f>IFERROR(IF(H156="Monthly",INDEX('Employee Database'!$J$3:$J$202,MATCH(E156,'Employee Database'!$A$3:$A$202,0))/12,IF(H156="Weekly",INDEX('Employee Database'!$J$3:$J$202,MATCH(E156,'Employee Database'!$A$3:$A$202,0))/52,IF(H156="Fortnightly",INDEX('Employee Database'!$J$3:$J$202,MATCH(E156,'Employee Database'!$A$3:$A$202,0))/26,IF(H156="Four-weekly",INDEX('Employee Database'!$J$3:$J$202,MATCH(E156,'Employee Database'!$A$3:$A$202,0))/13,0))))),0)</f>
        <v/>
      </c>
      <c r="J156" s="45" t="n"/>
      <c r="K156" s="45" t="n"/>
      <c r="L156" s="44">
        <f>SUM(I156:K156)</f>
        <v/>
      </c>
      <c r="M156" s="45" t="n"/>
      <c r="N156" s="45" t="n"/>
      <c r="O156" s="44">
        <f>IFERROR(ROUND(L156*INDEX('Employee Database'!$L$3:$L$202,MATCH(E156,'Employee Database'!$A$3:$A$202,0))/100,2),0)</f>
        <v/>
      </c>
      <c r="P156" s="45" t="n"/>
      <c r="Q156" s="44">
        <f>SUM(M156:P156)</f>
        <v/>
      </c>
      <c r="R156" s="44">
        <f>L156-Q156</f>
        <v/>
      </c>
      <c r="S156" s="45" t="n"/>
      <c r="T156" s="44">
        <f>IFERROR(ROUND(L156*INDEX('Employee Database'!$M$3:$M$202,MATCH(E156,'Employee Database'!$A$3:$A$202,0))/100,2),0)</f>
        <v/>
      </c>
      <c r="U156" s="44">
        <f>SUM(L156,S156,T156)</f>
        <v/>
      </c>
      <c r="V156" s="46">
        <f>IF(E156="","",IF(OR(B156="",C156="",D156=""),"Missing period/date",IF(L156&lt;0,"Check gross pay",IF(R156&lt;0,"Deductions exceed gross","Review statutory amounts"))))</f>
        <v/>
      </c>
      <c r="W156" s="42" t="n"/>
      <c r="X156" s="47" t="n"/>
    </row>
    <row r="157">
      <c r="A157" s="42" t="n"/>
      <c r="B157" s="39" t="n"/>
      <c r="C157" s="39" t="n"/>
      <c r="D157" s="39" t="n"/>
      <c r="E157" s="42" t="n"/>
      <c r="F157" s="43">
        <f>IFERROR(INDEX('Employee Database'!$B$3:$B$202,MATCH(E157,'Employee Database'!$A$3:$A$202,0)),"")</f>
        <v/>
      </c>
      <c r="G157" s="43">
        <f>IFERROR(INDEX('Employee Database'!$F$3:$F$202,MATCH(E157,'Employee Database'!$A$3:$A$202,0)),"")</f>
        <v/>
      </c>
      <c r="H157" s="43">
        <f>IFERROR(INDEX('Employee Database'!$I$3:$I$202,MATCH(E157,'Employee Database'!$A$3:$A$202,0)),"")</f>
        <v/>
      </c>
      <c r="I157" s="44">
        <f>IFERROR(IF(H157="Monthly",INDEX('Employee Database'!$J$3:$J$202,MATCH(E157,'Employee Database'!$A$3:$A$202,0))/12,IF(H157="Weekly",INDEX('Employee Database'!$J$3:$J$202,MATCH(E157,'Employee Database'!$A$3:$A$202,0))/52,IF(H157="Fortnightly",INDEX('Employee Database'!$J$3:$J$202,MATCH(E157,'Employee Database'!$A$3:$A$202,0))/26,IF(H157="Four-weekly",INDEX('Employee Database'!$J$3:$J$202,MATCH(E157,'Employee Database'!$A$3:$A$202,0))/13,0))))),0)</f>
        <v/>
      </c>
      <c r="J157" s="45" t="n"/>
      <c r="K157" s="45" t="n"/>
      <c r="L157" s="44">
        <f>SUM(I157:K157)</f>
        <v/>
      </c>
      <c r="M157" s="45" t="n"/>
      <c r="N157" s="45" t="n"/>
      <c r="O157" s="44">
        <f>IFERROR(ROUND(L157*INDEX('Employee Database'!$L$3:$L$202,MATCH(E157,'Employee Database'!$A$3:$A$202,0))/100,2),0)</f>
        <v/>
      </c>
      <c r="P157" s="45" t="n"/>
      <c r="Q157" s="44">
        <f>SUM(M157:P157)</f>
        <v/>
      </c>
      <c r="R157" s="44">
        <f>L157-Q157</f>
        <v/>
      </c>
      <c r="S157" s="45" t="n"/>
      <c r="T157" s="44">
        <f>IFERROR(ROUND(L157*INDEX('Employee Database'!$M$3:$M$202,MATCH(E157,'Employee Database'!$A$3:$A$202,0))/100,2),0)</f>
        <v/>
      </c>
      <c r="U157" s="44">
        <f>SUM(L157,S157,T157)</f>
        <v/>
      </c>
      <c r="V157" s="46">
        <f>IF(E157="","",IF(OR(B157="",C157="",D157=""),"Missing period/date",IF(L157&lt;0,"Check gross pay",IF(R157&lt;0,"Deductions exceed gross","Review statutory amounts"))))</f>
        <v/>
      </c>
      <c r="W157" s="42" t="n"/>
      <c r="X157" s="47" t="n"/>
    </row>
    <row r="158">
      <c r="A158" s="42" t="n"/>
      <c r="B158" s="39" t="n"/>
      <c r="C158" s="39" t="n"/>
      <c r="D158" s="39" t="n"/>
      <c r="E158" s="42" t="n"/>
      <c r="F158" s="43">
        <f>IFERROR(INDEX('Employee Database'!$B$3:$B$202,MATCH(E158,'Employee Database'!$A$3:$A$202,0)),"")</f>
        <v/>
      </c>
      <c r="G158" s="43">
        <f>IFERROR(INDEX('Employee Database'!$F$3:$F$202,MATCH(E158,'Employee Database'!$A$3:$A$202,0)),"")</f>
        <v/>
      </c>
      <c r="H158" s="43">
        <f>IFERROR(INDEX('Employee Database'!$I$3:$I$202,MATCH(E158,'Employee Database'!$A$3:$A$202,0)),"")</f>
        <v/>
      </c>
      <c r="I158" s="44">
        <f>IFERROR(IF(H158="Monthly",INDEX('Employee Database'!$J$3:$J$202,MATCH(E158,'Employee Database'!$A$3:$A$202,0))/12,IF(H158="Weekly",INDEX('Employee Database'!$J$3:$J$202,MATCH(E158,'Employee Database'!$A$3:$A$202,0))/52,IF(H158="Fortnightly",INDEX('Employee Database'!$J$3:$J$202,MATCH(E158,'Employee Database'!$A$3:$A$202,0))/26,IF(H158="Four-weekly",INDEX('Employee Database'!$J$3:$J$202,MATCH(E158,'Employee Database'!$A$3:$A$202,0))/13,0))))),0)</f>
        <v/>
      </c>
      <c r="J158" s="45" t="n"/>
      <c r="K158" s="45" t="n"/>
      <c r="L158" s="44">
        <f>SUM(I158:K158)</f>
        <v/>
      </c>
      <c r="M158" s="45" t="n"/>
      <c r="N158" s="45" t="n"/>
      <c r="O158" s="44">
        <f>IFERROR(ROUND(L158*INDEX('Employee Database'!$L$3:$L$202,MATCH(E158,'Employee Database'!$A$3:$A$202,0))/100,2),0)</f>
        <v/>
      </c>
      <c r="P158" s="45" t="n"/>
      <c r="Q158" s="44">
        <f>SUM(M158:P158)</f>
        <v/>
      </c>
      <c r="R158" s="44">
        <f>L158-Q158</f>
        <v/>
      </c>
      <c r="S158" s="45" t="n"/>
      <c r="T158" s="44">
        <f>IFERROR(ROUND(L158*INDEX('Employee Database'!$M$3:$M$202,MATCH(E158,'Employee Database'!$A$3:$A$202,0))/100,2),0)</f>
        <v/>
      </c>
      <c r="U158" s="44">
        <f>SUM(L158,S158,T158)</f>
        <v/>
      </c>
      <c r="V158" s="46">
        <f>IF(E158="","",IF(OR(B158="",C158="",D158=""),"Missing period/date",IF(L158&lt;0,"Check gross pay",IF(R158&lt;0,"Deductions exceed gross","Review statutory amounts"))))</f>
        <v/>
      </c>
      <c r="W158" s="42" t="n"/>
      <c r="X158" s="47" t="n"/>
    </row>
    <row r="159">
      <c r="A159" s="42" t="n"/>
      <c r="B159" s="39" t="n"/>
      <c r="C159" s="39" t="n"/>
      <c r="D159" s="39" t="n"/>
      <c r="E159" s="42" t="n"/>
      <c r="F159" s="43">
        <f>IFERROR(INDEX('Employee Database'!$B$3:$B$202,MATCH(E159,'Employee Database'!$A$3:$A$202,0)),"")</f>
        <v/>
      </c>
      <c r="G159" s="43">
        <f>IFERROR(INDEX('Employee Database'!$F$3:$F$202,MATCH(E159,'Employee Database'!$A$3:$A$202,0)),"")</f>
        <v/>
      </c>
      <c r="H159" s="43">
        <f>IFERROR(INDEX('Employee Database'!$I$3:$I$202,MATCH(E159,'Employee Database'!$A$3:$A$202,0)),"")</f>
        <v/>
      </c>
      <c r="I159" s="44">
        <f>IFERROR(IF(H159="Monthly",INDEX('Employee Database'!$J$3:$J$202,MATCH(E159,'Employee Database'!$A$3:$A$202,0))/12,IF(H159="Weekly",INDEX('Employee Database'!$J$3:$J$202,MATCH(E159,'Employee Database'!$A$3:$A$202,0))/52,IF(H159="Fortnightly",INDEX('Employee Database'!$J$3:$J$202,MATCH(E159,'Employee Database'!$A$3:$A$202,0))/26,IF(H159="Four-weekly",INDEX('Employee Database'!$J$3:$J$202,MATCH(E159,'Employee Database'!$A$3:$A$202,0))/13,0))))),0)</f>
        <v/>
      </c>
      <c r="J159" s="45" t="n"/>
      <c r="K159" s="45" t="n"/>
      <c r="L159" s="44">
        <f>SUM(I159:K159)</f>
        <v/>
      </c>
      <c r="M159" s="45" t="n"/>
      <c r="N159" s="45" t="n"/>
      <c r="O159" s="44">
        <f>IFERROR(ROUND(L159*INDEX('Employee Database'!$L$3:$L$202,MATCH(E159,'Employee Database'!$A$3:$A$202,0))/100,2),0)</f>
        <v/>
      </c>
      <c r="P159" s="45" t="n"/>
      <c r="Q159" s="44">
        <f>SUM(M159:P159)</f>
        <v/>
      </c>
      <c r="R159" s="44">
        <f>L159-Q159</f>
        <v/>
      </c>
      <c r="S159" s="45" t="n"/>
      <c r="T159" s="44">
        <f>IFERROR(ROUND(L159*INDEX('Employee Database'!$M$3:$M$202,MATCH(E159,'Employee Database'!$A$3:$A$202,0))/100,2),0)</f>
        <v/>
      </c>
      <c r="U159" s="44">
        <f>SUM(L159,S159,T159)</f>
        <v/>
      </c>
      <c r="V159" s="46">
        <f>IF(E159="","",IF(OR(B159="",C159="",D159=""),"Missing period/date",IF(L159&lt;0,"Check gross pay",IF(R159&lt;0,"Deductions exceed gross","Review statutory amounts"))))</f>
        <v/>
      </c>
      <c r="W159" s="42" t="n"/>
      <c r="X159" s="47" t="n"/>
    </row>
    <row r="160">
      <c r="A160" s="42" t="n"/>
      <c r="B160" s="39" t="n"/>
      <c r="C160" s="39" t="n"/>
      <c r="D160" s="39" t="n"/>
      <c r="E160" s="42" t="n"/>
      <c r="F160" s="43">
        <f>IFERROR(INDEX('Employee Database'!$B$3:$B$202,MATCH(E160,'Employee Database'!$A$3:$A$202,0)),"")</f>
        <v/>
      </c>
      <c r="G160" s="43">
        <f>IFERROR(INDEX('Employee Database'!$F$3:$F$202,MATCH(E160,'Employee Database'!$A$3:$A$202,0)),"")</f>
        <v/>
      </c>
      <c r="H160" s="43">
        <f>IFERROR(INDEX('Employee Database'!$I$3:$I$202,MATCH(E160,'Employee Database'!$A$3:$A$202,0)),"")</f>
        <v/>
      </c>
      <c r="I160" s="44">
        <f>IFERROR(IF(H160="Monthly",INDEX('Employee Database'!$J$3:$J$202,MATCH(E160,'Employee Database'!$A$3:$A$202,0))/12,IF(H160="Weekly",INDEX('Employee Database'!$J$3:$J$202,MATCH(E160,'Employee Database'!$A$3:$A$202,0))/52,IF(H160="Fortnightly",INDEX('Employee Database'!$J$3:$J$202,MATCH(E160,'Employee Database'!$A$3:$A$202,0))/26,IF(H160="Four-weekly",INDEX('Employee Database'!$J$3:$J$202,MATCH(E160,'Employee Database'!$A$3:$A$202,0))/13,0))))),0)</f>
        <v/>
      </c>
      <c r="J160" s="45" t="n"/>
      <c r="K160" s="45" t="n"/>
      <c r="L160" s="44">
        <f>SUM(I160:K160)</f>
        <v/>
      </c>
      <c r="M160" s="45" t="n"/>
      <c r="N160" s="45" t="n"/>
      <c r="O160" s="44">
        <f>IFERROR(ROUND(L160*INDEX('Employee Database'!$L$3:$L$202,MATCH(E160,'Employee Database'!$A$3:$A$202,0))/100,2),0)</f>
        <v/>
      </c>
      <c r="P160" s="45" t="n"/>
      <c r="Q160" s="44">
        <f>SUM(M160:P160)</f>
        <v/>
      </c>
      <c r="R160" s="44">
        <f>L160-Q160</f>
        <v/>
      </c>
      <c r="S160" s="45" t="n"/>
      <c r="T160" s="44">
        <f>IFERROR(ROUND(L160*INDEX('Employee Database'!$M$3:$M$202,MATCH(E160,'Employee Database'!$A$3:$A$202,0))/100,2),0)</f>
        <v/>
      </c>
      <c r="U160" s="44">
        <f>SUM(L160,S160,T160)</f>
        <v/>
      </c>
      <c r="V160" s="46">
        <f>IF(E160="","",IF(OR(B160="",C160="",D160=""),"Missing period/date",IF(L160&lt;0,"Check gross pay",IF(R160&lt;0,"Deductions exceed gross","Review statutory amounts"))))</f>
        <v/>
      </c>
      <c r="W160" s="42" t="n"/>
      <c r="X160" s="47" t="n"/>
    </row>
    <row r="161">
      <c r="A161" s="42" t="n"/>
      <c r="B161" s="39" t="n"/>
      <c r="C161" s="39" t="n"/>
      <c r="D161" s="39" t="n"/>
      <c r="E161" s="42" t="n"/>
      <c r="F161" s="43">
        <f>IFERROR(INDEX('Employee Database'!$B$3:$B$202,MATCH(E161,'Employee Database'!$A$3:$A$202,0)),"")</f>
        <v/>
      </c>
      <c r="G161" s="43">
        <f>IFERROR(INDEX('Employee Database'!$F$3:$F$202,MATCH(E161,'Employee Database'!$A$3:$A$202,0)),"")</f>
        <v/>
      </c>
      <c r="H161" s="43">
        <f>IFERROR(INDEX('Employee Database'!$I$3:$I$202,MATCH(E161,'Employee Database'!$A$3:$A$202,0)),"")</f>
        <v/>
      </c>
      <c r="I161" s="44">
        <f>IFERROR(IF(H161="Monthly",INDEX('Employee Database'!$J$3:$J$202,MATCH(E161,'Employee Database'!$A$3:$A$202,0))/12,IF(H161="Weekly",INDEX('Employee Database'!$J$3:$J$202,MATCH(E161,'Employee Database'!$A$3:$A$202,0))/52,IF(H161="Fortnightly",INDEX('Employee Database'!$J$3:$J$202,MATCH(E161,'Employee Database'!$A$3:$A$202,0))/26,IF(H161="Four-weekly",INDEX('Employee Database'!$J$3:$J$202,MATCH(E161,'Employee Database'!$A$3:$A$202,0))/13,0))))),0)</f>
        <v/>
      </c>
      <c r="J161" s="45" t="n"/>
      <c r="K161" s="45" t="n"/>
      <c r="L161" s="44">
        <f>SUM(I161:K161)</f>
        <v/>
      </c>
      <c r="M161" s="45" t="n"/>
      <c r="N161" s="45" t="n"/>
      <c r="O161" s="44">
        <f>IFERROR(ROUND(L161*INDEX('Employee Database'!$L$3:$L$202,MATCH(E161,'Employee Database'!$A$3:$A$202,0))/100,2),0)</f>
        <v/>
      </c>
      <c r="P161" s="45" t="n"/>
      <c r="Q161" s="44">
        <f>SUM(M161:P161)</f>
        <v/>
      </c>
      <c r="R161" s="44">
        <f>L161-Q161</f>
        <v/>
      </c>
      <c r="S161" s="45" t="n"/>
      <c r="T161" s="44">
        <f>IFERROR(ROUND(L161*INDEX('Employee Database'!$M$3:$M$202,MATCH(E161,'Employee Database'!$A$3:$A$202,0))/100,2),0)</f>
        <v/>
      </c>
      <c r="U161" s="44">
        <f>SUM(L161,S161,T161)</f>
        <v/>
      </c>
      <c r="V161" s="46">
        <f>IF(E161="","",IF(OR(B161="",C161="",D161=""),"Missing period/date",IF(L161&lt;0,"Check gross pay",IF(R161&lt;0,"Deductions exceed gross","Review statutory amounts"))))</f>
        <v/>
      </c>
      <c r="W161" s="42" t="n"/>
      <c r="X161" s="47" t="n"/>
    </row>
    <row r="162">
      <c r="A162" s="42" t="n"/>
      <c r="B162" s="39" t="n"/>
      <c r="C162" s="39" t="n"/>
      <c r="D162" s="39" t="n"/>
      <c r="E162" s="42" t="n"/>
      <c r="F162" s="43">
        <f>IFERROR(INDEX('Employee Database'!$B$3:$B$202,MATCH(E162,'Employee Database'!$A$3:$A$202,0)),"")</f>
        <v/>
      </c>
      <c r="G162" s="43">
        <f>IFERROR(INDEX('Employee Database'!$F$3:$F$202,MATCH(E162,'Employee Database'!$A$3:$A$202,0)),"")</f>
        <v/>
      </c>
      <c r="H162" s="43">
        <f>IFERROR(INDEX('Employee Database'!$I$3:$I$202,MATCH(E162,'Employee Database'!$A$3:$A$202,0)),"")</f>
        <v/>
      </c>
      <c r="I162" s="44">
        <f>IFERROR(IF(H162="Monthly",INDEX('Employee Database'!$J$3:$J$202,MATCH(E162,'Employee Database'!$A$3:$A$202,0))/12,IF(H162="Weekly",INDEX('Employee Database'!$J$3:$J$202,MATCH(E162,'Employee Database'!$A$3:$A$202,0))/52,IF(H162="Fortnightly",INDEX('Employee Database'!$J$3:$J$202,MATCH(E162,'Employee Database'!$A$3:$A$202,0))/26,IF(H162="Four-weekly",INDEX('Employee Database'!$J$3:$J$202,MATCH(E162,'Employee Database'!$A$3:$A$202,0))/13,0))))),0)</f>
        <v/>
      </c>
      <c r="J162" s="45" t="n"/>
      <c r="K162" s="45" t="n"/>
      <c r="L162" s="44">
        <f>SUM(I162:K162)</f>
        <v/>
      </c>
      <c r="M162" s="45" t="n"/>
      <c r="N162" s="45" t="n"/>
      <c r="O162" s="44">
        <f>IFERROR(ROUND(L162*INDEX('Employee Database'!$L$3:$L$202,MATCH(E162,'Employee Database'!$A$3:$A$202,0))/100,2),0)</f>
        <v/>
      </c>
      <c r="P162" s="45" t="n"/>
      <c r="Q162" s="44">
        <f>SUM(M162:P162)</f>
        <v/>
      </c>
      <c r="R162" s="44">
        <f>L162-Q162</f>
        <v/>
      </c>
      <c r="S162" s="45" t="n"/>
      <c r="T162" s="44">
        <f>IFERROR(ROUND(L162*INDEX('Employee Database'!$M$3:$M$202,MATCH(E162,'Employee Database'!$A$3:$A$202,0))/100,2),0)</f>
        <v/>
      </c>
      <c r="U162" s="44">
        <f>SUM(L162,S162,T162)</f>
        <v/>
      </c>
      <c r="V162" s="46">
        <f>IF(E162="","",IF(OR(B162="",C162="",D162=""),"Missing period/date",IF(L162&lt;0,"Check gross pay",IF(R162&lt;0,"Deductions exceed gross","Review statutory amounts"))))</f>
        <v/>
      </c>
      <c r="W162" s="42" t="n"/>
      <c r="X162" s="47" t="n"/>
    </row>
    <row r="163">
      <c r="A163" s="42" t="n"/>
      <c r="B163" s="39" t="n"/>
      <c r="C163" s="39" t="n"/>
      <c r="D163" s="39" t="n"/>
      <c r="E163" s="42" t="n"/>
      <c r="F163" s="43">
        <f>IFERROR(INDEX('Employee Database'!$B$3:$B$202,MATCH(E163,'Employee Database'!$A$3:$A$202,0)),"")</f>
        <v/>
      </c>
      <c r="G163" s="43">
        <f>IFERROR(INDEX('Employee Database'!$F$3:$F$202,MATCH(E163,'Employee Database'!$A$3:$A$202,0)),"")</f>
        <v/>
      </c>
      <c r="H163" s="43">
        <f>IFERROR(INDEX('Employee Database'!$I$3:$I$202,MATCH(E163,'Employee Database'!$A$3:$A$202,0)),"")</f>
        <v/>
      </c>
      <c r="I163" s="44">
        <f>IFERROR(IF(H163="Monthly",INDEX('Employee Database'!$J$3:$J$202,MATCH(E163,'Employee Database'!$A$3:$A$202,0))/12,IF(H163="Weekly",INDEX('Employee Database'!$J$3:$J$202,MATCH(E163,'Employee Database'!$A$3:$A$202,0))/52,IF(H163="Fortnightly",INDEX('Employee Database'!$J$3:$J$202,MATCH(E163,'Employee Database'!$A$3:$A$202,0))/26,IF(H163="Four-weekly",INDEX('Employee Database'!$J$3:$J$202,MATCH(E163,'Employee Database'!$A$3:$A$202,0))/13,0))))),0)</f>
        <v/>
      </c>
      <c r="J163" s="45" t="n"/>
      <c r="K163" s="45" t="n"/>
      <c r="L163" s="44">
        <f>SUM(I163:K163)</f>
        <v/>
      </c>
      <c r="M163" s="45" t="n"/>
      <c r="N163" s="45" t="n"/>
      <c r="O163" s="44">
        <f>IFERROR(ROUND(L163*INDEX('Employee Database'!$L$3:$L$202,MATCH(E163,'Employee Database'!$A$3:$A$202,0))/100,2),0)</f>
        <v/>
      </c>
      <c r="P163" s="45" t="n"/>
      <c r="Q163" s="44">
        <f>SUM(M163:P163)</f>
        <v/>
      </c>
      <c r="R163" s="44">
        <f>L163-Q163</f>
        <v/>
      </c>
      <c r="S163" s="45" t="n"/>
      <c r="T163" s="44">
        <f>IFERROR(ROUND(L163*INDEX('Employee Database'!$M$3:$M$202,MATCH(E163,'Employee Database'!$A$3:$A$202,0))/100,2),0)</f>
        <v/>
      </c>
      <c r="U163" s="44">
        <f>SUM(L163,S163,T163)</f>
        <v/>
      </c>
      <c r="V163" s="46">
        <f>IF(E163="","",IF(OR(B163="",C163="",D163=""),"Missing period/date",IF(L163&lt;0,"Check gross pay",IF(R163&lt;0,"Deductions exceed gross","Review statutory amounts"))))</f>
        <v/>
      </c>
      <c r="W163" s="42" t="n"/>
      <c r="X163" s="47" t="n"/>
    </row>
    <row r="164">
      <c r="A164" s="42" t="n"/>
      <c r="B164" s="39" t="n"/>
      <c r="C164" s="39" t="n"/>
      <c r="D164" s="39" t="n"/>
      <c r="E164" s="42" t="n"/>
      <c r="F164" s="43">
        <f>IFERROR(INDEX('Employee Database'!$B$3:$B$202,MATCH(E164,'Employee Database'!$A$3:$A$202,0)),"")</f>
        <v/>
      </c>
      <c r="G164" s="43">
        <f>IFERROR(INDEX('Employee Database'!$F$3:$F$202,MATCH(E164,'Employee Database'!$A$3:$A$202,0)),"")</f>
        <v/>
      </c>
      <c r="H164" s="43">
        <f>IFERROR(INDEX('Employee Database'!$I$3:$I$202,MATCH(E164,'Employee Database'!$A$3:$A$202,0)),"")</f>
        <v/>
      </c>
      <c r="I164" s="44">
        <f>IFERROR(IF(H164="Monthly",INDEX('Employee Database'!$J$3:$J$202,MATCH(E164,'Employee Database'!$A$3:$A$202,0))/12,IF(H164="Weekly",INDEX('Employee Database'!$J$3:$J$202,MATCH(E164,'Employee Database'!$A$3:$A$202,0))/52,IF(H164="Fortnightly",INDEX('Employee Database'!$J$3:$J$202,MATCH(E164,'Employee Database'!$A$3:$A$202,0))/26,IF(H164="Four-weekly",INDEX('Employee Database'!$J$3:$J$202,MATCH(E164,'Employee Database'!$A$3:$A$202,0))/13,0))))),0)</f>
        <v/>
      </c>
      <c r="J164" s="45" t="n"/>
      <c r="K164" s="45" t="n"/>
      <c r="L164" s="44">
        <f>SUM(I164:K164)</f>
        <v/>
      </c>
      <c r="M164" s="45" t="n"/>
      <c r="N164" s="45" t="n"/>
      <c r="O164" s="44">
        <f>IFERROR(ROUND(L164*INDEX('Employee Database'!$L$3:$L$202,MATCH(E164,'Employee Database'!$A$3:$A$202,0))/100,2),0)</f>
        <v/>
      </c>
      <c r="P164" s="45" t="n"/>
      <c r="Q164" s="44">
        <f>SUM(M164:P164)</f>
        <v/>
      </c>
      <c r="R164" s="44">
        <f>L164-Q164</f>
        <v/>
      </c>
      <c r="S164" s="45" t="n"/>
      <c r="T164" s="44">
        <f>IFERROR(ROUND(L164*INDEX('Employee Database'!$M$3:$M$202,MATCH(E164,'Employee Database'!$A$3:$A$202,0))/100,2),0)</f>
        <v/>
      </c>
      <c r="U164" s="44">
        <f>SUM(L164,S164,T164)</f>
        <v/>
      </c>
      <c r="V164" s="46">
        <f>IF(E164="","",IF(OR(B164="",C164="",D164=""),"Missing period/date",IF(L164&lt;0,"Check gross pay",IF(R164&lt;0,"Deductions exceed gross","Review statutory amounts"))))</f>
        <v/>
      </c>
      <c r="W164" s="42" t="n"/>
      <c r="X164" s="47" t="n"/>
    </row>
    <row r="165">
      <c r="A165" s="42" t="n"/>
      <c r="B165" s="39" t="n"/>
      <c r="C165" s="39" t="n"/>
      <c r="D165" s="39" t="n"/>
      <c r="E165" s="42" t="n"/>
      <c r="F165" s="43">
        <f>IFERROR(INDEX('Employee Database'!$B$3:$B$202,MATCH(E165,'Employee Database'!$A$3:$A$202,0)),"")</f>
        <v/>
      </c>
      <c r="G165" s="43">
        <f>IFERROR(INDEX('Employee Database'!$F$3:$F$202,MATCH(E165,'Employee Database'!$A$3:$A$202,0)),"")</f>
        <v/>
      </c>
      <c r="H165" s="43">
        <f>IFERROR(INDEX('Employee Database'!$I$3:$I$202,MATCH(E165,'Employee Database'!$A$3:$A$202,0)),"")</f>
        <v/>
      </c>
      <c r="I165" s="44">
        <f>IFERROR(IF(H165="Monthly",INDEX('Employee Database'!$J$3:$J$202,MATCH(E165,'Employee Database'!$A$3:$A$202,0))/12,IF(H165="Weekly",INDEX('Employee Database'!$J$3:$J$202,MATCH(E165,'Employee Database'!$A$3:$A$202,0))/52,IF(H165="Fortnightly",INDEX('Employee Database'!$J$3:$J$202,MATCH(E165,'Employee Database'!$A$3:$A$202,0))/26,IF(H165="Four-weekly",INDEX('Employee Database'!$J$3:$J$202,MATCH(E165,'Employee Database'!$A$3:$A$202,0))/13,0))))),0)</f>
        <v/>
      </c>
      <c r="J165" s="45" t="n"/>
      <c r="K165" s="45" t="n"/>
      <c r="L165" s="44">
        <f>SUM(I165:K165)</f>
        <v/>
      </c>
      <c r="M165" s="45" t="n"/>
      <c r="N165" s="45" t="n"/>
      <c r="O165" s="44">
        <f>IFERROR(ROUND(L165*INDEX('Employee Database'!$L$3:$L$202,MATCH(E165,'Employee Database'!$A$3:$A$202,0))/100,2),0)</f>
        <v/>
      </c>
      <c r="P165" s="45" t="n"/>
      <c r="Q165" s="44">
        <f>SUM(M165:P165)</f>
        <v/>
      </c>
      <c r="R165" s="44">
        <f>L165-Q165</f>
        <v/>
      </c>
      <c r="S165" s="45" t="n"/>
      <c r="T165" s="44">
        <f>IFERROR(ROUND(L165*INDEX('Employee Database'!$M$3:$M$202,MATCH(E165,'Employee Database'!$A$3:$A$202,0))/100,2),0)</f>
        <v/>
      </c>
      <c r="U165" s="44">
        <f>SUM(L165,S165,T165)</f>
        <v/>
      </c>
      <c r="V165" s="46">
        <f>IF(E165="","",IF(OR(B165="",C165="",D165=""),"Missing period/date",IF(L165&lt;0,"Check gross pay",IF(R165&lt;0,"Deductions exceed gross","Review statutory amounts"))))</f>
        <v/>
      </c>
      <c r="W165" s="42" t="n"/>
      <c r="X165" s="47" t="n"/>
    </row>
    <row r="166">
      <c r="A166" s="42" t="n"/>
      <c r="B166" s="39" t="n"/>
      <c r="C166" s="39" t="n"/>
      <c r="D166" s="39" t="n"/>
      <c r="E166" s="42" t="n"/>
      <c r="F166" s="43">
        <f>IFERROR(INDEX('Employee Database'!$B$3:$B$202,MATCH(E166,'Employee Database'!$A$3:$A$202,0)),"")</f>
        <v/>
      </c>
      <c r="G166" s="43">
        <f>IFERROR(INDEX('Employee Database'!$F$3:$F$202,MATCH(E166,'Employee Database'!$A$3:$A$202,0)),"")</f>
        <v/>
      </c>
      <c r="H166" s="43">
        <f>IFERROR(INDEX('Employee Database'!$I$3:$I$202,MATCH(E166,'Employee Database'!$A$3:$A$202,0)),"")</f>
        <v/>
      </c>
      <c r="I166" s="44">
        <f>IFERROR(IF(H166="Monthly",INDEX('Employee Database'!$J$3:$J$202,MATCH(E166,'Employee Database'!$A$3:$A$202,0))/12,IF(H166="Weekly",INDEX('Employee Database'!$J$3:$J$202,MATCH(E166,'Employee Database'!$A$3:$A$202,0))/52,IF(H166="Fortnightly",INDEX('Employee Database'!$J$3:$J$202,MATCH(E166,'Employee Database'!$A$3:$A$202,0))/26,IF(H166="Four-weekly",INDEX('Employee Database'!$J$3:$J$202,MATCH(E166,'Employee Database'!$A$3:$A$202,0))/13,0))))),0)</f>
        <v/>
      </c>
      <c r="J166" s="45" t="n"/>
      <c r="K166" s="45" t="n"/>
      <c r="L166" s="44">
        <f>SUM(I166:K166)</f>
        <v/>
      </c>
      <c r="M166" s="45" t="n"/>
      <c r="N166" s="45" t="n"/>
      <c r="O166" s="44">
        <f>IFERROR(ROUND(L166*INDEX('Employee Database'!$L$3:$L$202,MATCH(E166,'Employee Database'!$A$3:$A$202,0))/100,2),0)</f>
        <v/>
      </c>
      <c r="P166" s="45" t="n"/>
      <c r="Q166" s="44">
        <f>SUM(M166:P166)</f>
        <v/>
      </c>
      <c r="R166" s="44">
        <f>L166-Q166</f>
        <v/>
      </c>
      <c r="S166" s="45" t="n"/>
      <c r="T166" s="44">
        <f>IFERROR(ROUND(L166*INDEX('Employee Database'!$M$3:$M$202,MATCH(E166,'Employee Database'!$A$3:$A$202,0))/100,2),0)</f>
        <v/>
      </c>
      <c r="U166" s="44">
        <f>SUM(L166,S166,T166)</f>
        <v/>
      </c>
      <c r="V166" s="46">
        <f>IF(E166="","",IF(OR(B166="",C166="",D166=""),"Missing period/date",IF(L166&lt;0,"Check gross pay",IF(R166&lt;0,"Deductions exceed gross","Review statutory amounts"))))</f>
        <v/>
      </c>
      <c r="W166" s="42" t="n"/>
      <c r="X166" s="47" t="n"/>
    </row>
    <row r="167">
      <c r="A167" s="42" t="n"/>
      <c r="B167" s="39" t="n"/>
      <c r="C167" s="39" t="n"/>
      <c r="D167" s="39" t="n"/>
      <c r="E167" s="42" t="n"/>
      <c r="F167" s="43">
        <f>IFERROR(INDEX('Employee Database'!$B$3:$B$202,MATCH(E167,'Employee Database'!$A$3:$A$202,0)),"")</f>
        <v/>
      </c>
      <c r="G167" s="43">
        <f>IFERROR(INDEX('Employee Database'!$F$3:$F$202,MATCH(E167,'Employee Database'!$A$3:$A$202,0)),"")</f>
        <v/>
      </c>
      <c r="H167" s="43">
        <f>IFERROR(INDEX('Employee Database'!$I$3:$I$202,MATCH(E167,'Employee Database'!$A$3:$A$202,0)),"")</f>
        <v/>
      </c>
      <c r="I167" s="44">
        <f>IFERROR(IF(H167="Monthly",INDEX('Employee Database'!$J$3:$J$202,MATCH(E167,'Employee Database'!$A$3:$A$202,0))/12,IF(H167="Weekly",INDEX('Employee Database'!$J$3:$J$202,MATCH(E167,'Employee Database'!$A$3:$A$202,0))/52,IF(H167="Fortnightly",INDEX('Employee Database'!$J$3:$J$202,MATCH(E167,'Employee Database'!$A$3:$A$202,0))/26,IF(H167="Four-weekly",INDEX('Employee Database'!$J$3:$J$202,MATCH(E167,'Employee Database'!$A$3:$A$202,0))/13,0))))),0)</f>
        <v/>
      </c>
      <c r="J167" s="45" t="n"/>
      <c r="K167" s="45" t="n"/>
      <c r="L167" s="44">
        <f>SUM(I167:K167)</f>
        <v/>
      </c>
      <c r="M167" s="45" t="n"/>
      <c r="N167" s="45" t="n"/>
      <c r="O167" s="44">
        <f>IFERROR(ROUND(L167*INDEX('Employee Database'!$L$3:$L$202,MATCH(E167,'Employee Database'!$A$3:$A$202,0))/100,2),0)</f>
        <v/>
      </c>
      <c r="P167" s="45" t="n"/>
      <c r="Q167" s="44">
        <f>SUM(M167:P167)</f>
        <v/>
      </c>
      <c r="R167" s="44">
        <f>L167-Q167</f>
        <v/>
      </c>
      <c r="S167" s="45" t="n"/>
      <c r="T167" s="44">
        <f>IFERROR(ROUND(L167*INDEX('Employee Database'!$M$3:$M$202,MATCH(E167,'Employee Database'!$A$3:$A$202,0))/100,2),0)</f>
        <v/>
      </c>
      <c r="U167" s="44">
        <f>SUM(L167,S167,T167)</f>
        <v/>
      </c>
      <c r="V167" s="46">
        <f>IF(E167="","",IF(OR(B167="",C167="",D167=""),"Missing period/date",IF(L167&lt;0,"Check gross pay",IF(R167&lt;0,"Deductions exceed gross","Review statutory amounts"))))</f>
        <v/>
      </c>
      <c r="W167" s="42" t="n"/>
      <c r="X167" s="47" t="n"/>
    </row>
    <row r="168">
      <c r="A168" s="42" t="n"/>
      <c r="B168" s="39" t="n"/>
      <c r="C168" s="39" t="n"/>
      <c r="D168" s="39" t="n"/>
      <c r="E168" s="42" t="n"/>
      <c r="F168" s="43">
        <f>IFERROR(INDEX('Employee Database'!$B$3:$B$202,MATCH(E168,'Employee Database'!$A$3:$A$202,0)),"")</f>
        <v/>
      </c>
      <c r="G168" s="43">
        <f>IFERROR(INDEX('Employee Database'!$F$3:$F$202,MATCH(E168,'Employee Database'!$A$3:$A$202,0)),"")</f>
        <v/>
      </c>
      <c r="H168" s="43">
        <f>IFERROR(INDEX('Employee Database'!$I$3:$I$202,MATCH(E168,'Employee Database'!$A$3:$A$202,0)),"")</f>
        <v/>
      </c>
      <c r="I168" s="44">
        <f>IFERROR(IF(H168="Monthly",INDEX('Employee Database'!$J$3:$J$202,MATCH(E168,'Employee Database'!$A$3:$A$202,0))/12,IF(H168="Weekly",INDEX('Employee Database'!$J$3:$J$202,MATCH(E168,'Employee Database'!$A$3:$A$202,0))/52,IF(H168="Fortnightly",INDEX('Employee Database'!$J$3:$J$202,MATCH(E168,'Employee Database'!$A$3:$A$202,0))/26,IF(H168="Four-weekly",INDEX('Employee Database'!$J$3:$J$202,MATCH(E168,'Employee Database'!$A$3:$A$202,0))/13,0))))),0)</f>
        <v/>
      </c>
      <c r="J168" s="45" t="n"/>
      <c r="K168" s="45" t="n"/>
      <c r="L168" s="44">
        <f>SUM(I168:K168)</f>
        <v/>
      </c>
      <c r="M168" s="45" t="n"/>
      <c r="N168" s="45" t="n"/>
      <c r="O168" s="44">
        <f>IFERROR(ROUND(L168*INDEX('Employee Database'!$L$3:$L$202,MATCH(E168,'Employee Database'!$A$3:$A$202,0))/100,2),0)</f>
        <v/>
      </c>
      <c r="P168" s="45" t="n"/>
      <c r="Q168" s="44">
        <f>SUM(M168:P168)</f>
        <v/>
      </c>
      <c r="R168" s="44">
        <f>L168-Q168</f>
        <v/>
      </c>
      <c r="S168" s="45" t="n"/>
      <c r="T168" s="44">
        <f>IFERROR(ROUND(L168*INDEX('Employee Database'!$M$3:$M$202,MATCH(E168,'Employee Database'!$A$3:$A$202,0))/100,2),0)</f>
        <v/>
      </c>
      <c r="U168" s="44">
        <f>SUM(L168,S168,T168)</f>
        <v/>
      </c>
      <c r="V168" s="46">
        <f>IF(E168="","",IF(OR(B168="",C168="",D168=""),"Missing period/date",IF(L168&lt;0,"Check gross pay",IF(R168&lt;0,"Deductions exceed gross","Review statutory amounts"))))</f>
        <v/>
      </c>
      <c r="W168" s="42" t="n"/>
      <c r="X168" s="47" t="n"/>
    </row>
    <row r="169">
      <c r="A169" s="42" t="n"/>
      <c r="B169" s="39" t="n"/>
      <c r="C169" s="39" t="n"/>
      <c r="D169" s="39" t="n"/>
      <c r="E169" s="42" t="n"/>
      <c r="F169" s="43">
        <f>IFERROR(INDEX('Employee Database'!$B$3:$B$202,MATCH(E169,'Employee Database'!$A$3:$A$202,0)),"")</f>
        <v/>
      </c>
      <c r="G169" s="43">
        <f>IFERROR(INDEX('Employee Database'!$F$3:$F$202,MATCH(E169,'Employee Database'!$A$3:$A$202,0)),"")</f>
        <v/>
      </c>
      <c r="H169" s="43">
        <f>IFERROR(INDEX('Employee Database'!$I$3:$I$202,MATCH(E169,'Employee Database'!$A$3:$A$202,0)),"")</f>
        <v/>
      </c>
      <c r="I169" s="44">
        <f>IFERROR(IF(H169="Monthly",INDEX('Employee Database'!$J$3:$J$202,MATCH(E169,'Employee Database'!$A$3:$A$202,0))/12,IF(H169="Weekly",INDEX('Employee Database'!$J$3:$J$202,MATCH(E169,'Employee Database'!$A$3:$A$202,0))/52,IF(H169="Fortnightly",INDEX('Employee Database'!$J$3:$J$202,MATCH(E169,'Employee Database'!$A$3:$A$202,0))/26,IF(H169="Four-weekly",INDEX('Employee Database'!$J$3:$J$202,MATCH(E169,'Employee Database'!$A$3:$A$202,0))/13,0))))),0)</f>
        <v/>
      </c>
      <c r="J169" s="45" t="n"/>
      <c r="K169" s="45" t="n"/>
      <c r="L169" s="44">
        <f>SUM(I169:K169)</f>
        <v/>
      </c>
      <c r="M169" s="45" t="n"/>
      <c r="N169" s="45" t="n"/>
      <c r="O169" s="44">
        <f>IFERROR(ROUND(L169*INDEX('Employee Database'!$L$3:$L$202,MATCH(E169,'Employee Database'!$A$3:$A$202,0))/100,2),0)</f>
        <v/>
      </c>
      <c r="P169" s="45" t="n"/>
      <c r="Q169" s="44">
        <f>SUM(M169:P169)</f>
        <v/>
      </c>
      <c r="R169" s="44">
        <f>L169-Q169</f>
        <v/>
      </c>
      <c r="S169" s="45" t="n"/>
      <c r="T169" s="44">
        <f>IFERROR(ROUND(L169*INDEX('Employee Database'!$M$3:$M$202,MATCH(E169,'Employee Database'!$A$3:$A$202,0))/100,2),0)</f>
        <v/>
      </c>
      <c r="U169" s="44">
        <f>SUM(L169,S169,T169)</f>
        <v/>
      </c>
      <c r="V169" s="46">
        <f>IF(E169="","",IF(OR(B169="",C169="",D169=""),"Missing period/date",IF(L169&lt;0,"Check gross pay",IF(R169&lt;0,"Deductions exceed gross","Review statutory amounts"))))</f>
        <v/>
      </c>
      <c r="W169" s="42" t="n"/>
      <c r="X169" s="47" t="n"/>
    </row>
    <row r="170">
      <c r="A170" s="42" t="n"/>
      <c r="B170" s="39" t="n"/>
      <c r="C170" s="39" t="n"/>
      <c r="D170" s="39" t="n"/>
      <c r="E170" s="42" t="n"/>
      <c r="F170" s="43">
        <f>IFERROR(INDEX('Employee Database'!$B$3:$B$202,MATCH(E170,'Employee Database'!$A$3:$A$202,0)),"")</f>
        <v/>
      </c>
      <c r="G170" s="43">
        <f>IFERROR(INDEX('Employee Database'!$F$3:$F$202,MATCH(E170,'Employee Database'!$A$3:$A$202,0)),"")</f>
        <v/>
      </c>
      <c r="H170" s="43">
        <f>IFERROR(INDEX('Employee Database'!$I$3:$I$202,MATCH(E170,'Employee Database'!$A$3:$A$202,0)),"")</f>
        <v/>
      </c>
      <c r="I170" s="44">
        <f>IFERROR(IF(H170="Monthly",INDEX('Employee Database'!$J$3:$J$202,MATCH(E170,'Employee Database'!$A$3:$A$202,0))/12,IF(H170="Weekly",INDEX('Employee Database'!$J$3:$J$202,MATCH(E170,'Employee Database'!$A$3:$A$202,0))/52,IF(H170="Fortnightly",INDEX('Employee Database'!$J$3:$J$202,MATCH(E170,'Employee Database'!$A$3:$A$202,0))/26,IF(H170="Four-weekly",INDEX('Employee Database'!$J$3:$J$202,MATCH(E170,'Employee Database'!$A$3:$A$202,0))/13,0))))),0)</f>
        <v/>
      </c>
      <c r="J170" s="45" t="n"/>
      <c r="K170" s="45" t="n"/>
      <c r="L170" s="44">
        <f>SUM(I170:K170)</f>
        <v/>
      </c>
      <c r="M170" s="45" t="n"/>
      <c r="N170" s="45" t="n"/>
      <c r="O170" s="44">
        <f>IFERROR(ROUND(L170*INDEX('Employee Database'!$L$3:$L$202,MATCH(E170,'Employee Database'!$A$3:$A$202,0))/100,2),0)</f>
        <v/>
      </c>
      <c r="P170" s="45" t="n"/>
      <c r="Q170" s="44">
        <f>SUM(M170:P170)</f>
        <v/>
      </c>
      <c r="R170" s="44">
        <f>L170-Q170</f>
        <v/>
      </c>
      <c r="S170" s="45" t="n"/>
      <c r="T170" s="44">
        <f>IFERROR(ROUND(L170*INDEX('Employee Database'!$M$3:$M$202,MATCH(E170,'Employee Database'!$A$3:$A$202,0))/100,2),0)</f>
        <v/>
      </c>
      <c r="U170" s="44">
        <f>SUM(L170,S170,T170)</f>
        <v/>
      </c>
      <c r="V170" s="46">
        <f>IF(E170="","",IF(OR(B170="",C170="",D170=""),"Missing period/date",IF(L170&lt;0,"Check gross pay",IF(R170&lt;0,"Deductions exceed gross","Review statutory amounts"))))</f>
        <v/>
      </c>
      <c r="W170" s="42" t="n"/>
      <c r="X170" s="47" t="n"/>
    </row>
    <row r="171">
      <c r="A171" s="42" t="n"/>
      <c r="B171" s="39" t="n"/>
      <c r="C171" s="39" t="n"/>
      <c r="D171" s="39" t="n"/>
      <c r="E171" s="42" t="n"/>
      <c r="F171" s="43">
        <f>IFERROR(INDEX('Employee Database'!$B$3:$B$202,MATCH(E171,'Employee Database'!$A$3:$A$202,0)),"")</f>
        <v/>
      </c>
      <c r="G171" s="43">
        <f>IFERROR(INDEX('Employee Database'!$F$3:$F$202,MATCH(E171,'Employee Database'!$A$3:$A$202,0)),"")</f>
        <v/>
      </c>
      <c r="H171" s="43">
        <f>IFERROR(INDEX('Employee Database'!$I$3:$I$202,MATCH(E171,'Employee Database'!$A$3:$A$202,0)),"")</f>
        <v/>
      </c>
      <c r="I171" s="44">
        <f>IFERROR(IF(H171="Monthly",INDEX('Employee Database'!$J$3:$J$202,MATCH(E171,'Employee Database'!$A$3:$A$202,0))/12,IF(H171="Weekly",INDEX('Employee Database'!$J$3:$J$202,MATCH(E171,'Employee Database'!$A$3:$A$202,0))/52,IF(H171="Fortnightly",INDEX('Employee Database'!$J$3:$J$202,MATCH(E171,'Employee Database'!$A$3:$A$202,0))/26,IF(H171="Four-weekly",INDEX('Employee Database'!$J$3:$J$202,MATCH(E171,'Employee Database'!$A$3:$A$202,0))/13,0))))),0)</f>
        <v/>
      </c>
      <c r="J171" s="45" t="n"/>
      <c r="K171" s="45" t="n"/>
      <c r="L171" s="44">
        <f>SUM(I171:K171)</f>
        <v/>
      </c>
      <c r="M171" s="45" t="n"/>
      <c r="N171" s="45" t="n"/>
      <c r="O171" s="44">
        <f>IFERROR(ROUND(L171*INDEX('Employee Database'!$L$3:$L$202,MATCH(E171,'Employee Database'!$A$3:$A$202,0))/100,2),0)</f>
        <v/>
      </c>
      <c r="P171" s="45" t="n"/>
      <c r="Q171" s="44">
        <f>SUM(M171:P171)</f>
        <v/>
      </c>
      <c r="R171" s="44">
        <f>L171-Q171</f>
        <v/>
      </c>
      <c r="S171" s="45" t="n"/>
      <c r="T171" s="44">
        <f>IFERROR(ROUND(L171*INDEX('Employee Database'!$M$3:$M$202,MATCH(E171,'Employee Database'!$A$3:$A$202,0))/100,2),0)</f>
        <v/>
      </c>
      <c r="U171" s="44">
        <f>SUM(L171,S171,T171)</f>
        <v/>
      </c>
      <c r="V171" s="46">
        <f>IF(E171="","",IF(OR(B171="",C171="",D171=""),"Missing period/date",IF(L171&lt;0,"Check gross pay",IF(R171&lt;0,"Deductions exceed gross","Review statutory amounts"))))</f>
        <v/>
      </c>
      <c r="W171" s="42" t="n"/>
      <c r="X171" s="47" t="n"/>
    </row>
    <row r="172">
      <c r="A172" s="42" t="n"/>
      <c r="B172" s="39" t="n"/>
      <c r="C172" s="39" t="n"/>
      <c r="D172" s="39" t="n"/>
      <c r="E172" s="42" t="n"/>
      <c r="F172" s="43">
        <f>IFERROR(INDEX('Employee Database'!$B$3:$B$202,MATCH(E172,'Employee Database'!$A$3:$A$202,0)),"")</f>
        <v/>
      </c>
      <c r="G172" s="43">
        <f>IFERROR(INDEX('Employee Database'!$F$3:$F$202,MATCH(E172,'Employee Database'!$A$3:$A$202,0)),"")</f>
        <v/>
      </c>
      <c r="H172" s="43">
        <f>IFERROR(INDEX('Employee Database'!$I$3:$I$202,MATCH(E172,'Employee Database'!$A$3:$A$202,0)),"")</f>
        <v/>
      </c>
      <c r="I172" s="44">
        <f>IFERROR(IF(H172="Monthly",INDEX('Employee Database'!$J$3:$J$202,MATCH(E172,'Employee Database'!$A$3:$A$202,0))/12,IF(H172="Weekly",INDEX('Employee Database'!$J$3:$J$202,MATCH(E172,'Employee Database'!$A$3:$A$202,0))/52,IF(H172="Fortnightly",INDEX('Employee Database'!$J$3:$J$202,MATCH(E172,'Employee Database'!$A$3:$A$202,0))/26,IF(H172="Four-weekly",INDEX('Employee Database'!$J$3:$J$202,MATCH(E172,'Employee Database'!$A$3:$A$202,0))/13,0))))),0)</f>
        <v/>
      </c>
      <c r="J172" s="45" t="n"/>
      <c r="K172" s="45" t="n"/>
      <c r="L172" s="44">
        <f>SUM(I172:K172)</f>
        <v/>
      </c>
      <c r="M172" s="45" t="n"/>
      <c r="N172" s="45" t="n"/>
      <c r="O172" s="44">
        <f>IFERROR(ROUND(L172*INDEX('Employee Database'!$L$3:$L$202,MATCH(E172,'Employee Database'!$A$3:$A$202,0))/100,2),0)</f>
        <v/>
      </c>
      <c r="P172" s="45" t="n"/>
      <c r="Q172" s="44">
        <f>SUM(M172:P172)</f>
        <v/>
      </c>
      <c r="R172" s="44">
        <f>L172-Q172</f>
        <v/>
      </c>
      <c r="S172" s="45" t="n"/>
      <c r="T172" s="44">
        <f>IFERROR(ROUND(L172*INDEX('Employee Database'!$M$3:$M$202,MATCH(E172,'Employee Database'!$A$3:$A$202,0))/100,2),0)</f>
        <v/>
      </c>
      <c r="U172" s="44">
        <f>SUM(L172,S172,T172)</f>
        <v/>
      </c>
      <c r="V172" s="46">
        <f>IF(E172="","",IF(OR(B172="",C172="",D172=""),"Missing period/date",IF(L172&lt;0,"Check gross pay",IF(R172&lt;0,"Deductions exceed gross","Review statutory amounts"))))</f>
        <v/>
      </c>
      <c r="W172" s="42" t="n"/>
      <c r="X172" s="47" t="n"/>
    </row>
    <row r="173">
      <c r="A173" s="42" t="n"/>
      <c r="B173" s="39" t="n"/>
      <c r="C173" s="39" t="n"/>
      <c r="D173" s="39" t="n"/>
      <c r="E173" s="42" t="n"/>
      <c r="F173" s="43">
        <f>IFERROR(INDEX('Employee Database'!$B$3:$B$202,MATCH(E173,'Employee Database'!$A$3:$A$202,0)),"")</f>
        <v/>
      </c>
      <c r="G173" s="43">
        <f>IFERROR(INDEX('Employee Database'!$F$3:$F$202,MATCH(E173,'Employee Database'!$A$3:$A$202,0)),"")</f>
        <v/>
      </c>
      <c r="H173" s="43">
        <f>IFERROR(INDEX('Employee Database'!$I$3:$I$202,MATCH(E173,'Employee Database'!$A$3:$A$202,0)),"")</f>
        <v/>
      </c>
      <c r="I173" s="44">
        <f>IFERROR(IF(H173="Monthly",INDEX('Employee Database'!$J$3:$J$202,MATCH(E173,'Employee Database'!$A$3:$A$202,0))/12,IF(H173="Weekly",INDEX('Employee Database'!$J$3:$J$202,MATCH(E173,'Employee Database'!$A$3:$A$202,0))/52,IF(H173="Fortnightly",INDEX('Employee Database'!$J$3:$J$202,MATCH(E173,'Employee Database'!$A$3:$A$202,0))/26,IF(H173="Four-weekly",INDEX('Employee Database'!$J$3:$J$202,MATCH(E173,'Employee Database'!$A$3:$A$202,0))/13,0))))),0)</f>
        <v/>
      </c>
      <c r="J173" s="45" t="n"/>
      <c r="K173" s="45" t="n"/>
      <c r="L173" s="44">
        <f>SUM(I173:K173)</f>
        <v/>
      </c>
      <c r="M173" s="45" t="n"/>
      <c r="N173" s="45" t="n"/>
      <c r="O173" s="44">
        <f>IFERROR(ROUND(L173*INDEX('Employee Database'!$L$3:$L$202,MATCH(E173,'Employee Database'!$A$3:$A$202,0))/100,2),0)</f>
        <v/>
      </c>
      <c r="P173" s="45" t="n"/>
      <c r="Q173" s="44">
        <f>SUM(M173:P173)</f>
        <v/>
      </c>
      <c r="R173" s="44">
        <f>L173-Q173</f>
        <v/>
      </c>
      <c r="S173" s="45" t="n"/>
      <c r="T173" s="44">
        <f>IFERROR(ROUND(L173*INDEX('Employee Database'!$M$3:$M$202,MATCH(E173,'Employee Database'!$A$3:$A$202,0))/100,2),0)</f>
        <v/>
      </c>
      <c r="U173" s="44">
        <f>SUM(L173,S173,T173)</f>
        <v/>
      </c>
      <c r="V173" s="46">
        <f>IF(E173="","",IF(OR(B173="",C173="",D173=""),"Missing period/date",IF(L173&lt;0,"Check gross pay",IF(R173&lt;0,"Deductions exceed gross","Review statutory amounts"))))</f>
        <v/>
      </c>
      <c r="W173" s="42" t="n"/>
      <c r="X173" s="47" t="n"/>
    </row>
    <row r="174">
      <c r="A174" s="42" t="n"/>
      <c r="B174" s="39" t="n"/>
      <c r="C174" s="39" t="n"/>
      <c r="D174" s="39" t="n"/>
      <c r="E174" s="42" t="n"/>
      <c r="F174" s="43">
        <f>IFERROR(INDEX('Employee Database'!$B$3:$B$202,MATCH(E174,'Employee Database'!$A$3:$A$202,0)),"")</f>
        <v/>
      </c>
      <c r="G174" s="43">
        <f>IFERROR(INDEX('Employee Database'!$F$3:$F$202,MATCH(E174,'Employee Database'!$A$3:$A$202,0)),"")</f>
        <v/>
      </c>
      <c r="H174" s="43">
        <f>IFERROR(INDEX('Employee Database'!$I$3:$I$202,MATCH(E174,'Employee Database'!$A$3:$A$202,0)),"")</f>
        <v/>
      </c>
      <c r="I174" s="44">
        <f>IFERROR(IF(H174="Monthly",INDEX('Employee Database'!$J$3:$J$202,MATCH(E174,'Employee Database'!$A$3:$A$202,0))/12,IF(H174="Weekly",INDEX('Employee Database'!$J$3:$J$202,MATCH(E174,'Employee Database'!$A$3:$A$202,0))/52,IF(H174="Fortnightly",INDEX('Employee Database'!$J$3:$J$202,MATCH(E174,'Employee Database'!$A$3:$A$202,0))/26,IF(H174="Four-weekly",INDEX('Employee Database'!$J$3:$J$202,MATCH(E174,'Employee Database'!$A$3:$A$202,0))/13,0))))),0)</f>
        <v/>
      </c>
      <c r="J174" s="45" t="n"/>
      <c r="K174" s="45" t="n"/>
      <c r="L174" s="44">
        <f>SUM(I174:K174)</f>
        <v/>
      </c>
      <c r="M174" s="45" t="n"/>
      <c r="N174" s="45" t="n"/>
      <c r="O174" s="44">
        <f>IFERROR(ROUND(L174*INDEX('Employee Database'!$L$3:$L$202,MATCH(E174,'Employee Database'!$A$3:$A$202,0))/100,2),0)</f>
        <v/>
      </c>
      <c r="P174" s="45" t="n"/>
      <c r="Q174" s="44">
        <f>SUM(M174:P174)</f>
        <v/>
      </c>
      <c r="R174" s="44">
        <f>L174-Q174</f>
        <v/>
      </c>
      <c r="S174" s="45" t="n"/>
      <c r="T174" s="44">
        <f>IFERROR(ROUND(L174*INDEX('Employee Database'!$M$3:$M$202,MATCH(E174,'Employee Database'!$A$3:$A$202,0))/100,2),0)</f>
        <v/>
      </c>
      <c r="U174" s="44">
        <f>SUM(L174,S174,T174)</f>
        <v/>
      </c>
      <c r="V174" s="46">
        <f>IF(E174="","",IF(OR(B174="",C174="",D174=""),"Missing period/date",IF(L174&lt;0,"Check gross pay",IF(R174&lt;0,"Deductions exceed gross","Review statutory amounts"))))</f>
        <v/>
      </c>
      <c r="W174" s="42" t="n"/>
      <c r="X174" s="47" t="n"/>
    </row>
    <row r="175">
      <c r="A175" s="42" t="n"/>
      <c r="B175" s="39" t="n"/>
      <c r="C175" s="39" t="n"/>
      <c r="D175" s="39" t="n"/>
      <c r="E175" s="42" t="n"/>
      <c r="F175" s="43">
        <f>IFERROR(INDEX('Employee Database'!$B$3:$B$202,MATCH(E175,'Employee Database'!$A$3:$A$202,0)),"")</f>
        <v/>
      </c>
      <c r="G175" s="43">
        <f>IFERROR(INDEX('Employee Database'!$F$3:$F$202,MATCH(E175,'Employee Database'!$A$3:$A$202,0)),"")</f>
        <v/>
      </c>
      <c r="H175" s="43">
        <f>IFERROR(INDEX('Employee Database'!$I$3:$I$202,MATCH(E175,'Employee Database'!$A$3:$A$202,0)),"")</f>
        <v/>
      </c>
      <c r="I175" s="44">
        <f>IFERROR(IF(H175="Monthly",INDEX('Employee Database'!$J$3:$J$202,MATCH(E175,'Employee Database'!$A$3:$A$202,0))/12,IF(H175="Weekly",INDEX('Employee Database'!$J$3:$J$202,MATCH(E175,'Employee Database'!$A$3:$A$202,0))/52,IF(H175="Fortnightly",INDEX('Employee Database'!$J$3:$J$202,MATCH(E175,'Employee Database'!$A$3:$A$202,0))/26,IF(H175="Four-weekly",INDEX('Employee Database'!$J$3:$J$202,MATCH(E175,'Employee Database'!$A$3:$A$202,0))/13,0))))),0)</f>
        <v/>
      </c>
      <c r="J175" s="45" t="n"/>
      <c r="K175" s="45" t="n"/>
      <c r="L175" s="44">
        <f>SUM(I175:K175)</f>
        <v/>
      </c>
      <c r="M175" s="45" t="n"/>
      <c r="N175" s="45" t="n"/>
      <c r="O175" s="44">
        <f>IFERROR(ROUND(L175*INDEX('Employee Database'!$L$3:$L$202,MATCH(E175,'Employee Database'!$A$3:$A$202,0))/100,2),0)</f>
        <v/>
      </c>
      <c r="P175" s="45" t="n"/>
      <c r="Q175" s="44">
        <f>SUM(M175:P175)</f>
        <v/>
      </c>
      <c r="R175" s="44">
        <f>L175-Q175</f>
        <v/>
      </c>
      <c r="S175" s="45" t="n"/>
      <c r="T175" s="44">
        <f>IFERROR(ROUND(L175*INDEX('Employee Database'!$M$3:$M$202,MATCH(E175,'Employee Database'!$A$3:$A$202,0))/100,2),0)</f>
        <v/>
      </c>
      <c r="U175" s="44">
        <f>SUM(L175,S175,T175)</f>
        <v/>
      </c>
      <c r="V175" s="46">
        <f>IF(E175="","",IF(OR(B175="",C175="",D175=""),"Missing period/date",IF(L175&lt;0,"Check gross pay",IF(R175&lt;0,"Deductions exceed gross","Review statutory amounts"))))</f>
        <v/>
      </c>
      <c r="W175" s="42" t="n"/>
      <c r="X175" s="47" t="n"/>
    </row>
    <row r="176">
      <c r="A176" s="42" t="n"/>
      <c r="B176" s="39" t="n"/>
      <c r="C176" s="39" t="n"/>
      <c r="D176" s="39" t="n"/>
      <c r="E176" s="42" t="n"/>
      <c r="F176" s="43">
        <f>IFERROR(INDEX('Employee Database'!$B$3:$B$202,MATCH(E176,'Employee Database'!$A$3:$A$202,0)),"")</f>
        <v/>
      </c>
      <c r="G176" s="43">
        <f>IFERROR(INDEX('Employee Database'!$F$3:$F$202,MATCH(E176,'Employee Database'!$A$3:$A$202,0)),"")</f>
        <v/>
      </c>
      <c r="H176" s="43">
        <f>IFERROR(INDEX('Employee Database'!$I$3:$I$202,MATCH(E176,'Employee Database'!$A$3:$A$202,0)),"")</f>
        <v/>
      </c>
      <c r="I176" s="44">
        <f>IFERROR(IF(H176="Monthly",INDEX('Employee Database'!$J$3:$J$202,MATCH(E176,'Employee Database'!$A$3:$A$202,0))/12,IF(H176="Weekly",INDEX('Employee Database'!$J$3:$J$202,MATCH(E176,'Employee Database'!$A$3:$A$202,0))/52,IF(H176="Fortnightly",INDEX('Employee Database'!$J$3:$J$202,MATCH(E176,'Employee Database'!$A$3:$A$202,0))/26,IF(H176="Four-weekly",INDEX('Employee Database'!$J$3:$J$202,MATCH(E176,'Employee Database'!$A$3:$A$202,0))/13,0))))),0)</f>
        <v/>
      </c>
      <c r="J176" s="45" t="n"/>
      <c r="K176" s="45" t="n"/>
      <c r="L176" s="44">
        <f>SUM(I176:K176)</f>
        <v/>
      </c>
      <c r="M176" s="45" t="n"/>
      <c r="N176" s="45" t="n"/>
      <c r="O176" s="44">
        <f>IFERROR(ROUND(L176*INDEX('Employee Database'!$L$3:$L$202,MATCH(E176,'Employee Database'!$A$3:$A$202,0))/100,2),0)</f>
        <v/>
      </c>
      <c r="P176" s="45" t="n"/>
      <c r="Q176" s="44">
        <f>SUM(M176:P176)</f>
        <v/>
      </c>
      <c r="R176" s="44">
        <f>L176-Q176</f>
        <v/>
      </c>
      <c r="S176" s="45" t="n"/>
      <c r="T176" s="44">
        <f>IFERROR(ROUND(L176*INDEX('Employee Database'!$M$3:$M$202,MATCH(E176,'Employee Database'!$A$3:$A$202,0))/100,2),0)</f>
        <v/>
      </c>
      <c r="U176" s="44">
        <f>SUM(L176,S176,T176)</f>
        <v/>
      </c>
      <c r="V176" s="46">
        <f>IF(E176="","",IF(OR(B176="",C176="",D176=""),"Missing period/date",IF(L176&lt;0,"Check gross pay",IF(R176&lt;0,"Deductions exceed gross","Review statutory amounts"))))</f>
        <v/>
      </c>
      <c r="W176" s="42" t="n"/>
      <c r="X176" s="47" t="n"/>
    </row>
    <row r="177">
      <c r="A177" s="42" t="n"/>
      <c r="B177" s="39" t="n"/>
      <c r="C177" s="39" t="n"/>
      <c r="D177" s="39" t="n"/>
      <c r="E177" s="42" t="n"/>
      <c r="F177" s="43">
        <f>IFERROR(INDEX('Employee Database'!$B$3:$B$202,MATCH(E177,'Employee Database'!$A$3:$A$202,0)),"")</f>
        <v/>
      </c>
      <c r="G177" s="43">
        <f>IFERROR(INDEX('Employee Database'!$F$3:$F$202,MATCH(E177,'Employee Database'!$A$3:$A$202,0)),"")</f>
        <v/>
      </c>
      <c r="H177" s="43">
        <f>IFERROR(INDEX('Employee Database'!$I$3:$I$202,MATCH(E177,'Employee Database'!$A$3:$A$202,0)),"")</f>
        <v/>
      </c>
      <c r="I177" s="44">
        <f>IFERROR(IF(H177="Monthly",INDEX('Employee Database'!$J$3:$J$202,MATCH(E177,'Employee Database'!$A$3:$A$202,0))/12,IF(H177="Weekly",INDEX('Employee Database'!$J$3:$J$202,MATCH(E177,'Employee Database'!$A$3:$A$202,0))/52,IF(H177="Fortnightly",INDEX('Employee Database'!$J$3:$J$202,MATCH(E177,'Employee Database'!$A$3:$A$202,0))/26,IF(H177="Four-weekly",INDEX('Employee Database'!$J$3:$J$202,MATCH(E177,'Employee Database'!$A$3:$A$202,0))/13,0))))),0)</f>
        <v/>
      </c>
      <c r="J177" s="45" t="n"/>
      <c r="K177" s="45" t="n"/>
      <c r="L177" s="44">
        <f>SUM(I177:K177)</f>
        <v/>
      </c>
      <c r="M177" s="45" t="n"/>
      <c r="N177" s="45" t="n"/>
      <c r="O177" s="44">
        <f>IFERROR(ROUND(L177*INDEX('Employee Database'!$L$3:$L$202,MATCH(E177,'Employee Database'!$A$3:$A$202,0))/100,2),0)</f>
        <v/>
      </c>
      <c r="P177" s="45" t="n"/>
      <c r="Q177" s="44">
        <f>SUM(M177:P177)</f>
        <v/>
      </c>
      <c r="R177" s="44">
        <f>L177-Q177</f>
        <v/>
      </c>
      <c r="S177" s="45" t="n"/>
      <c r="T177" s="44">
        <f>IFERROR(ROUND(L177*INDEX('Employee Database'!$M$3:$M$202,MATCH(E177,'Employee Database'!$A$3:$A$202,0))/100,2),0)</f>
        <v/>
      </c>
      <c r="U177" s="44">
        <f>SUM(L177,S177,T177)</f>
        <v/>
      </c>
      <c r="V177" s="46">
        <f>IF(E177="","",IF(OR(B177="",C177="",D177=""),"Missing period/date",IF(L177&lt;0,"Check gross pay",IF(R177&lt;0,"Deductions exceed gross","Review statutory amounts"))))</f>
        <v/>
      </c>
      <c r="W177" s="42" t="n"/>
      <c r="X177" s="47" t="n"/>
    </row>
    <row r="178">
      <c r="A178" s="42" t="n"/>
      <c r="B178" s="39" t="n"/>
      <c r="C178" s="39" t="n"/>
      <c r="D178" s="39" t="n"/>
      <c r="E178" s="42" t="n"/>
      <c r="F178" s="43">
        <f>IFERROR(INDEX('Employee Database'!$B$3:$B$202,MATCH(E178,'Employee Database'!$A$3:$A$202,0)),"")</f>
        <v/>
      </c>
      <c r="G178" s="43">
        <f>IFERROR(INDEX('Employee Database'!$F$3:$F$202,MATCH(E178,'Employee Database'!$A$3:$A$202,0)),"")</f>
        <v/>
      </c>
      <c r="H178" s="43">
        <f>IFERROR(INDEX('Employee Database'!$I$3:$I$202,MATCH(E178,'Employee Database'!$A$3:$A$202,0)),"")</f>
        <v/>
      </c>
      <c r="I178" s="44">
        <f>IFERROR(IF(H178="Monthly",INDEX('Employee Database'!$J$3:$J$202,MATCH(E178,'Employee Database'!$A$3:$A$202,0))/12,IF(H178="Weekly",INDEX('Employee Database'!$J$3:$J$202,MATCH(E178,'Employee Database'!$A$3:$A$202,0))/52,IF(H178="Fortnightly",INDEX('Employee Database'!$J$3:$J$202,MATCH(E178,'Employee Database'!$A$3:$A$202,0))/26,IF(H178="Four-weekly",INDEX('Employee Database'!$J$3:$J$202,MATCH(E178,'Employee Database'!$A$3:$A$202,0))/13,0))))),0)</f>
        <v/>
      </c>
      <c r="J178" s="45" t="n"/>
      <c r="K178" s="45" t="n"/>
      <c r="L178" s="44">
        <f>SUM(I178:K178)</f>
        <v/>
      </c>
      <c r="M178" s="45" t="n"/>
      <c r="N178" s="45" t="n"/>
      <c r="O178" s="44">
        <f>IFERROR(ROUND(L178*INDEX('Employee Database'!$L$3:$L$202,MATCH(E178,'Employee Database'!$A$3:$A$202,0))/100,2),0)</f>
        <v/>
      </c>
      <c r="P178" s="45" t="n"/>
      <c r="Q178" s="44">
        <f>SUM(M178:P178)</f>
        <v/>
      </c>
      <c r="R178" s="44">
        <f>L178-Q178</f>
        <v/>
      </c>
      <c r="S178" s="45" t="n"/>
      <c r="T178" s="44">
        <f>IFERROR(ROUND(L178*INDEX('Employee Database'!$M$3:$M$202,MATCH(E178,'Employee Database'!$A$3:$A$202,0))/100,2),0)</f>
        <v/>
      </c>
      <c r="U178" s="44">
        <f>SUM(L178,S178,T178)</f>
        <v/>
      </c>
      <c r="V178" s="46">
        <f>IF(E178="","",IF(OR(B178="",C178="",D178=""),"Missing period/date",IF(L178&lt;0,"Check gross pay",IF(R178&lt;0,"Deductions exceed gross","Review statutory amounts"))))</f>
        <v/>
      </c>
      <c r="W178" s="42" t="n"/>
      <c r="X178" s="47" t="n"/>
    </row>
    <row r="179">
      <c r="A179" s="42" t="n"/>
      <c r="B179" s="39" t="n"/>
      <c r="C179" s="39" t="n"/>
      <c r="D179" s="39" t="n"/>
      <c r="E179" s="42" t="n"/>
      <c r="F179" s="43">
        <f>IFERROR(INDEX('Employee Database'!$B$3:$B$202,MATCH(E179,'Employee Database'!$A$3:$A$202,0)),"")</f>
        <v/>
      </c>
      <c r="G179" s="43">
        <f>IFERROR(INDEX('Employee Database'!$F$3:$F$202,MATCH(E179,'Employee Database'!$A$3:$A$202,0)),"")</f>
        <v/>
      </c>
      <c r="H179" s="43">
        <f>IFERROR(INDEX('Employee Database'!$I$3:$I$202,MATCH(E179,'Employee Database'!$A$3:$A$202,0)),"")</f>
        <v/>
      </c>
      <c r="I179" s="44">
        <f>IFERROR(IF(H179="Monthly",INDEX('Employee Database'!$J$3:$J$202,MATCH(E179,'Employee Database'!$A$3:$A$202,0))/12,IF(H179="Weekly",INDEX('Employee Database'!$J$3:$J$202,MATCH(E179,'Employee Database'!$A$3:$A$202,0))/52,IF(H179="Fortnightly",INDEX('Employee Database'!$J$3:$J$202,MATCH(E179,'Employee Database'!$A$3:$A$202,0))/26,IF(H179="Four-weekly",INDEX('Employee Database'!$J$3:$J$202,MATCH(E179,'Employee Database'!$A$3:$A$202,0))/13,0))))),0)</f>
        <v/>
      </c>
      <c r="J179" s="45" t="n"/>
      <c r="K179" s="45" t="n"/>
      <c r="L179" s="44">
        <f>SUM(I179:K179)</f>
        <v/>
      </c>
      <c r="M179" s="45" t="n"/>
      <c r="N179" s="45" t="n"/>
      <c r="O179" s="44">
        <f>IFERROR(ROUND(L179*INDEX('Employee Database'!$L$3:$L$202,MATCH(E179,'Employee Database'!$A$3:$A$202,0))/100,2),0)</f>
        <v/>
      </c>
      <c r="P179" s="45" t="n"/>
      <c r="Q179" s="44">
        <f>SUM(M179:P179)</f>
        <v/>
      </c>
      <c r="R179" s="44">
        <f>L179-Q179</f>
        <v/>
      </c>
      <c r="S179" s="45" t="n"/>
      <c r="T179" s="44">
        <f>IFERROR(ROUND(L179*INDEX('Employee Database'!$M$3:$M$202,MATCH(E179,'Employee Database'!$A$3:$A$202,0))/100,2),0)</f>
        <v/>
      </c>
      <c r="U179" s="44">
        <f>SUM(L179,S179,T179)</f>
        <v/>
      </c>
      <c r="V179" s="46">
        <f>IF(E179="","",IF(OR(B179="",C179="",D179=""),"Missing period/date",IF(L179&lt;0,"Check gross pay",IF(R179&lt;0,"Deductions exceed gross","Review statutory amounts"))))</f>
        <v/>
      </c>
      <c r="W179" s="42" t="n"/>
      <c r="X179" s="47" t="n"/>
    </row>
    <row r="180">
      <c r="A180" s="42" t="n"/>
      <c r="B180" s="39" t="n"/>
      <c r="C180" s="39" t="n"/>
      <c r="D180" s="39" t="n"/>
      <c r="E180" s="42" t="n"/>
      <c r="F180" s="43">
        <f>IFERROR(INDEX('Employee Database'!$B$3:$B$202,MATCH(E180,'Employee Database'!$A$3:$A$202,0)),"")</f>
        <v/>
      </c>
      <c r="G180" s="43">
        <f>IFERROR(INDEX('Employee Database'!$F$3:$F$202,MATCH(E180,'Employee Database'!$A$3:$A$202,0)),"")</f>
        <v/>
      </c>
      <c r="H180" s="43">
        <f>IFERROR(INDEX('Employee Database'!$I$3:$I$202,MATCH(E180,'Employee Database'!$A$3:$A$202,0)),"")</f>
        <v/>
      </c>
      <c r="I180" s="44">
        <f>IFERROR(IF(H180="Monthly",INDEX('Employee Database'!$J$3:$J$202,MATCH(E180,'Employee Database'!$A$3:$A$202,0))/12,IF(H180="Weekly",INDEX('Employee Database'!$J$3:$J$202,MATCH(E180,'Employee Database'!$A$3:$A$202,0))/52,IF(H180="Fortnightly",INDEX('Employee Database'!$J$3:$J$202,MATCH(E180,'Employee Database'!$A$3:$A$202,0))/26,IF(H180="Four-weekly",INDEX('Employee Database'!$J$3:$J$202,MATCH(E180,'Employee Database'!$A$3:$A$202,0))/13,0))))),0)</f>
        <v/>
      </c>
      <c r="J180" s="45" t="n"/>
      <c r="K180" s="45" t="n"/>
      <c r="L180" s="44">
        <f>SUM(I180:K180)</f>
        <v/>
      </c>
      <c r="M180" s="45" t="n"/>
      <c r="N180" s="45" t="n"/>
      <c r="O180" s="44">
        <f>IFERROR(ROUND(L180*INDEX('Employee Database'!$L$3:$L$202,MATCH(E180,'Employee Database'!$A$3:$A$202,0))/100,2),0)</f>
        <v/>
      </c>
      <c r="P180" s="45" t="n"/>
      <c r="Q180" s="44">
        <f>SUM(M180:P180)</f>
        <v/>
      </c>
      <c r="R180" s="44">
        <f>L180-Q180</f>
        <v/>
      </c>
      <c r="S180" s="45" t="n"/>
      <c r="T180" s="44">
        <f>IFERROR(ROUND(L180*INDEX('Employee Database'!$M$3:$M$202,MATCH(E180,'Employee Database'!$A$3:$A$202,0))/100,2),0)</f>
        <v/>
      </c>
      <c r="U180" s="44">
        <f>SUM(L180,S180,T180)</f>
        <v/>
      </c>
      <c r="V180" s="46">
        <f>IF(E180="","",IF(OR(B180="",C180="",D180=""),"Missing period/date",IF(L180&lt;0,"Check gross pay",IF(R180&lt;0,"Deductions exceed gross","Review statutory amounts"))))</f>
        <v/>
      </c>
      <c r="W180" s="42" t="n"/>
      <c r="X180" s="47" t="n"/>
    </row>
    <row r="181">
      <c r="A181" s="42" t="n"/>
      <c r="B181" s="39" t="n"/>
      <c r="C181" s="39" t="n"/>
      <c r="D181" s="39" t="n"/>
      <c r="E181" s="42" t="n"/>
      <c r="F181" s="43">
        <f>IFERROR(INDEX('Employee Database'!$B$3:$B$202,MATCH(E181,'Employee Database'!$A$3:$A$202,0)),"")</f>
        <v/>
      </c>
      <c r="G181" s="43">
        <f>IFERROR(INDEX('Employee Database'!$F$3:$F$202,MATCH(E181,'Employee Database'!$A$3:$A$202,0)),"")</f>
        <v/>
      </c>
      <c r="H181" s="43">
        <f>IFERROR(INDEX('Employee Database'!$I$3:$I$202,MATCH(E181,'Employee Database'!$A$3:$A$202,0)),"")</f>
        <v/>
      </c>
      <c r="I181" s="44">
        <f>IFERROR(IF(H181="Monthly",INDEX('Employee Database'!$J$3:$J$202,MATCH(E181,'Employee Database'!$A$3:$A$202,0))/12,IF(H181="Weekly",INDEX('Employee Database'!$J$3:$J$202,MATCH(E181,'Employee Database'!$A$3:$A$202,0))/52,IF(H181="Fortnightly",INDEX('Employee Database'!$J$3:$J$202,MATCH(E181,'Employee Database'!$A$3:$A$202,0))/26,IF(H181="Four-weekly",INDEX('Employee Database'!$J$3:$J$202,MATCH(E181,'Employee Database'!$A$3:$A$202,0))/13,0))))),0)</f>
        <v/>
      </c>
      <c r="J181" s="45" t="n"/>
      <c r="K181" s="45" t="n"/>
      <c r="L181" s="44">
        <f>SUM(I181:K181)</f>
        <v/>
      </c>
      <c r="M181" s="45" t="n"/>
      <c r="N181" s="45" t="n"/>
      <c r="O181" s="44">
        <f>IFERROR(ROUND(L181*INDEX('Employee Database'!$L$3:$L$202,MATCH(E181,'Employee Database'!$A$3:$A$202,0))/100,2),0)</f>
        <v/>
      </c>
      <c r="P181" s="45" t="n"/>
      <c r="Q181" s="44">
        <f>SUM(M181:P181)</f>
        <v/>
      </c>
      <c r="R181" s="44">
        <f>L181-Q181</f>
        <v/>
      </c>
      <c r="S181" s="45" t="n"/>
      <c r="T181" s="44">
        <f>IFERROR(ROUND(L181*INDEX('Employee Database'!$M$3:$M$202,MATCH(E181,'Employee Database'!$A$3:$A$202,0))/100,2),0)</f>
        <v/>
      </c>
      <c r="U181" s="44">
        <f>SUM(L181,S181,T181)</f>
        <v/>
      </c>
      <c r="V181" s="46">
        <f>IF(E181="","",IF(OR(B181="",C181="",D181=""),"Missing period/date",IF(L181&lt;0,"Check gross pay",IF(R181&lt;0,"Deductions exceed gross","Review statutory amounts"))))</f>
        <v/>
      </c>
      <c r="W181" s="42" t="n"/>
      <c r="X181" s="47" t="n"/>
    </row>
    <row r="182">
      <c r="A182" s="42" t="n"/>
      <c r="B182" s="39" t="n"/>
      <c r="C182" s="39" t="n"/>
      <c r="D182" s="39" t="n"/>
      <c r="E182" s="42" t="n"/>
      <c r="F182" s="43">
        <f>IFERROR(INDEX('Employee Database'!$B$3:$B$202,MATCH(E182,'Employee Database'!$A$3:$A$202,0)),"")</f>
        <v/>
      </c>
      <c r="G182" s="43">
        <f>IFERROR(INDEX('Employee Database'!$F$3:$F$202,MATCH(E182,'Employee Database'!$A$3:$A$202,0)),"")</f>
        <v/>
      </c>
      <c r="H182" s="43">
        <f>IFERROR(INDEX('Employee Database'!$I$3:$I$202,MATCH(E182,'Employee Database'!$A$3:$A$202,0)),"")</f>
        <v/>
      </c>
      <c r="I182" s="44">
        <f>IFERROR(IF(H182="Monthly",INDEX('Employee Database'!$J$3:$J$202,MATCH(E182,'Employee Database'!$A$3:$A$202,0))/12,IF(H182="Weekly",INDEX('Employee Database'!$J$3:$J$202,MATCH(E182,'Employee Database'!$A$3:$A$202,0))/52,IF(H182="Fortnightly",INDEX('Employee Database'!$J$3:$J$202,MATCH(E182,'Employee Database'!$A$3:$A$202,0))/26,IF(H182="Four-weekly",INDEX('Employee Database'!$J$3:$J$202,MATCH(E182,'Employee Database'!$A$3:$A$202,0))/13,0))))),0)</f>
        <v/>
      </c>
      <c r="J182" s="45" t="n"/>
      <c r="K182" s="45" t="n"/>
      <c r="L182" s="44">
        <f>SUM(I182:K182)</f>
        <v/>
      </c>
      <c r="M182" s="45" t="n"/>
      <c r="N182" s="45" t="n"/>
      <c r="O182" s="44">
        <f>IFERROR(ROUND(L182*INDEX('Employee Database'!$L$3:$L$202,MATCH(E182,'Employee Database'!$A$3:$A$202,0))/100,2),0)</f>
        <v/>
      </c>
      <c r="P182" s="45" t="n"/>
      <c r="Q182" s="44">
        <f>SUM(M182:P182)</f>
        <v/>
      </c>
      <c r="R182" s="44">
        <f>L182-Q182</f>
        <v/>
      </c>
      <c r="S182" s="45" t="n"/>
      <c r="T182" s="44">
        <f>IFERROR(ROUND(L182*INDEX('Employee Database'!$M$3:$M$202,MATCH(E182,'Employee Database'!$A$3:$A$202,0))/100,2),0)</f>
        <v/>
      </c>
      <c r="U182" s="44">
        <f>SUM(L182,S182,T182)</f>
        <v/>
      </c>
      <c r="V182" s="46">
        <f>IF(E182="","",IF(OR(B182="",C182="",D182=""),"Missing period/date",IF(L182&lt;0,"Check gross pay",IF(R182&lt;0,"Deductions exceed gross","Review statutory amounts"))))</f>
        <v/>
      </c>
      <c r="W182" s="42" t="n"/>
      <c r="X182" s="47" t="n"/>
    </row>
    <row r="183">
      <c r="A183" s="42" t="n"/>
      <c r="B183" s="39" t="n"/>
      <c r="C183" s="39" t="n"/>
      <c r="D183" s="39" t="n"/>
      <c r="E183" s="42" t="n"/>
      <c r="F183" s="43">
        <f>IFERROR(INDEX('Employee Database'!$B$3:$B$202,MATCH(E183,'Employee Database'!$A$3:$A$202,0)),"")</f>
        <v/>
      </c>
      <c r="G183" s="43">
        <f>IFERROR(INDEX('Employee Database'!$F$3:$F$202,MATCH(E183,'Employee Database'!$A$3:$A$202,0)),"")</f>
        <v/>
      </c>
      <c r="H183" s="43">
        <f>IFERROR(INDEX('Employee Database'!$I$3:$I$202,MATCH(E183,'Employee Database'!$A$3:$A$202,0)),"")</f>
        <v/>
      </c>
      <c r="I183" s="44">
        <f>IFERROR(IF(H183="Monthly",INDEX('Employee Database'!$J$3:$J$202,MATCH(E183,'Employee Database'!$A$3:$A$202,0))/12,IF(H183="Weekly",INDEX('Employee Database'!$J$3:$J$202,MATCH(E183,'Employee Database'!$A$3:$A$202,0))/52,IF(H183="Fortnightly",INDEX('Employee Database'!$J$3:$J$202,MATCH(E183,'Employee Database'!$A$3:$A$202,0))/26,IF(H183="Four-weekly",INDEX('Employee Database'!$J$3:$J$202,MATCH(E183,'Employee Database'!$A$3:$A$202,0))/13,0))))),0)</f>
        <v/>
      </c>
      <c r="J183" s="45" t="n"/>
      <c r="K183" s="45" t="n"/>
      <c r="L183" s="44">
        <f>SUM(I183:K183)</f>
        <v/>
      </c>
      <c r="M183" s="45" t="n"/>
      <c r="N183" s="45" t="n"/>
      <c r="O183" s="44">
        <f>IFERROR(ROUND(L183*INDEX('Employee Database'!$L$3:$L$202,MATCH(E183,'Employee Database'!$A$3:$A$202,0))/100,2),0)</f>
        <v/>
      </c>
      <c r="P183" s="45" t="n"/>
      <c r="Q183" s="44">
        <f>SUM(M183:P183)</f>
        <v/>
      </c>
      <c r="R183" s="44">
        <f>L183-Q183</f>
        <v/>
      </c>
      <c r="S183" s="45" t="n"/>
      <c r="T183" s="44">
        <f>IFERROR(ROUND(L183*INDEX('Employee Database'!$M$3:$M$202,MATCH(E183,'Employee Database'!$A$3:$A$202,0))/100,2),0)</f>
        <v/>
      </c>
      <c r="U183" s="44">
        <f>SUM(L183,S183,T183)</f>
        <v/>
      </c>
      <c r="V183" s="46">
        <f>IF(E183="","",IF(OR(B183="",C183="",D183=""),"Missing period/date",IF(L183&lt;0,"Check gross pay",IF(R183&lt;0,"Deductions exceed gross","Review statutory amounts"))))</f>
        <v/>
      </c>
      <c r="W183" s="42" t="n"/>
      <c r="X183" s="47" t="n"/>
    </row>
    <row r="184">
      <c r="A184" s="42" t="n"/>
      <c r="B184" s="39" t="n"/>
      <c r="C184" s="39" t="n"/>
      <c r="D184" s="39" t="n"/>
      <c r="E184" s="42" t="n"/>
      <c r="F184" s="43">
        <f>IFERROR(INDEX('Employee Database'!$B$3:$B$202,MATCH(E184,'Employee Database'!$A$3:$A$202,0)),"")</f>
        <v/>
      </c>
      <c r="G184" s="43">
        <f>IFERROR(INDEX('Employee Database'!$F$3:$F$202,MATCH(E184,'Employee Database'!$A$3:$A$202,0)),"")</f>
        <v/>
      </c>
      <c r="H184" s="43">
        <f>IFERROR(INDEX('Employee Database'!$I$3:$I$202,MATCH(E184,'Employee Database'!$A$3:$A$202,0)),"")</f>
        <v/>
      </c>
      <c r="I184" s="44">
        <f>IFERROR(IF(H184="Monthly",INDEX('Employee Database'!$J$3:$J$202,MATCH(E184,'Employee Database'!$A$3:$A$202,0))/12,IF(H184="Weekly",INDEX('Employee Database'!$J$3:$J$202,MATCH(E184,'Employee Database'!$A$3:$A$202,0))/52,IF(H184="Fortnightly",INDEX('Employee Database'!$J$3:$J$202,MATCH(E184,'Employee Database'!$A$3:$A$202,0))/26,IF(H184="Four-weekly",INDEX('Employee Database'!$J$3:$J$202,MATCH(E184,'Employee Database'!$A$3:$A$202,0))/13,0))))),0)</f>
        <v/>
      </c>
      <c r="J184" s="45" t="n"/>
      <c r="K184" s="45" t="n"/>
      <c r="L184" s="44">
        <f>SUM(I184:K184)</f>
        <v/>
      </c>
      <c r="M184" s="45" t="n"/>
      <c r="N184" s="45" t="n"/>
      <c r="O184" s="44">
        <f>IFERROR(ROUND(L184*INDEX('Employee Database'!$L$3:$L$202,MATCH(E184,'Employee Database'!$A$3:$A$202,0))/100,2),0)</f>
        <v/>
      </c>
      <c r="P184" s="45" t="n"/>
      <c r="Q184" s="44">
        <f>SUM(M184:P184)</f>
        <v/>
      </c>
      <c r="R184" s="44">
        <f>L184-Q184</f>
        <v/>
      </c>
      <c r="S184" s="45" t="n"/>
      <c r="T184" s="44">
        <f>IFERROR(ROUND(L184*INDEX('Employee Database'!$M$3:$M$202,MATCH(E184,'Employee Database'!$A$3:$A$202,0))/100,2),0)</f>
        <v/>
      </c>
      <c r="U184" s="44">
        <f>SUM(L184,S184,T184)</f>
        <v/>
      </c>
      <c r="V184" s="46">
        <f>IF(E184="","",IF(OR(B184="",C184="",D184=""),"Missing period/date",IF(L184&lt;0,"Check gross pay",IF(R184&lt;0,"Deductions exceed gross","Review statutory amounts"))))</f>
        <v/>
      </c>
      <c r="W184" s="42" t="n"/>
      <c r="X184" s="47" t="n"/>
    </row>
    <row r="185">
      <c r="A185" s="42" t="n"/>
      <c r="B185" s="39" t="n"/>
      <c r="C185" s="39" t="n"/>
      <c r="D185" s="39" t="n"/>
      <c r="E185" s="42" t="n"/>
      <c r="F185" s="43">
        <f>IFERROR(INDEX('Employee Database'!$B$3:$B$202,MATCH(E185,'Employee Database'!$A$3:$A$202,0)),"")</f>
        <v/>
      </c>
      <c r="G185" s="43">
        <f>IFERROR(INDEX('Employee Database'!$F$3:$F$202,MATCH(E185,'Employee Database'!$A$3:$A$202,0)),"")</f>
        <v/>
      </c>
      <c r="H185" s="43">
        <f>IFERROR(INDEX('Employee Database'!$I$3:$I$202,MATCH(E185,'Employee Database'!$A$3:$A$202,0)),"")</f>
        <v/>
      </c>
      <c r="I185" s="44">
        <f>IFERROR(IF(H185="Monthly",INDEX('Employee Database'!$J$3:$J$202,MATCH(E185,'Employee Database'!$A$3:$A$202,0))/12,IF(H185="Weekly",INDEX('Employee Database'!$J$3:$J$202,MATCH(E185,'Employee Database'!$A$3:$A$202,0))/52,IF(H185="Fortnightly",INDEX('Employee Database'!$J$3:$J$202,MATCH(E185,'Employee Database'!$A$3:$A$202,0))/26,IF(H185="Four-weekly",INDEX('Employee Database'!$J$3:$J$202,MATCH(E185,'Employee Database'!$A$3:$A$202,0))/13,0))))),0)</f>
        <v/>
      </c>
      <c r="J185" s="45" t="n"/>
      <c r="K185" s="45" t="n"/>
      <c r="L185" s="44">
        <f>SUM(I185:K185)</f>
        <v/>
      </c>
      <c r="M185" s="45" t="n"/>
      <c r="N185" s="45" t="n"/>
      <c r="O185" s="44">
        <f>IFERROR(ROUND(L185*INDEX('Employee Database'!$L$3:$L$202,MATCH(E185,'Employee Database'!$A$3:$A$202,0))/100,2),0)</f>
        <v/>
      </c>
      <c r="P185" s="45" t="n"/>
      <c r="Q185" s="44">
        <f>SUM(M185:P185)</f>
        <v/>
      </c>
      <c r="R185" s="44">
        <f>L185-Q185</f>
        <v/>
      </c>
      <c r="S185" s="45" t="n"/>
      <c r="T185" s="44">
        <f>IFERROR(ROUND(L185*INDEX('Employee Database'!$M$3:$M$202,MATCH(E185,'Employee Database'!$A$3:$A$202,0))/100,2),0)</f>
        <v/>
      </c>
      <c r="U185" s="44">
        <f>SUM(L185,S185,T185)</f>
        <v/>
      </c>
      <c r="V185" s="46">
        <f>IF(E185="","",IF(OR(B185="",C185="",D185=""),"Missing period/date",IF(L185&lt;0,"Check gross pay",IF(R185&lt;0,"Deductions exceed gross","Review statutory amounts"))))</f>
        <v/>
      </c>
      <c r="W185" s="42" t="n"/>
      <c r="X185" s="47" t="n"/>
    </row>
    <row r="186">
      <c r="A186" s="42" t="n"/>
      <c r="B186" s="39" t="n"/>
      <c r="C186" s="39" t="n"/>
      <c r="D186" s="39" t="n"/>
      <c r="E186" s="42" t="n"/>
      <c r="F186" s="43">
        <f>IFERROR(INDEX('Employee Database'!$B$3:$B$202,MATCH(E186,'Employee Database'!$A$3:$A$202,0)),"")</f>
        <v/>
      </c>
      <c r="G186" s="43">
        <f>IFERROR(INDEX('Employee Database'!$F$3:$F$202,MATCH(E186,'Employee Database'!$A$3:$A$202,0)),"")</f>
        <v/>
      </c>
      <c r="H186" s="43">
        <f>IFERROR(INDEX('Employee Database'!$I$3:$I$202,MATCH(E186,'Employee Database'!$A$3:$A$202,0)),"")</f>
        <v/>
      </c>
      <c r="I186" s="44">
        <f>IFERROR(IF(H186="Monthly",INDEX('Employee Database'!$J$3:$J$202,MATCH(E186,'Employee Database'!$A$3:$A$202,0))/12,IF(H186="Weekly",INDEX('Employee Database'!$J$3:$J$202,MATCH(E186,'Employee Database'!$A$3:$A$202,0))/52,IF(H186="Fortnightly",INDEX('Employee Database'!$J$3:$J$202,MATCH(E186,'Employee Database'!$A$3:$A$202,0))/26,IF(H186="Four-weekly",INDEX('Employee Database'!$J$3:$J$202,MATCH(E186,'Employee Database'!$A$3:$A$202,0))/13,0))))),0)</f>
        <v/>
      </c>
      <c r="J186" s="45" t="n"/>
      <c r="K186" s="45" t="n"/>
      <c r="L186" s="44">
        <f>SUM(I186:K186)</f>
        <v/>
      </c>
      <c r="M186" s="45" t="n"/>
      <c r="N186" s="45" t="n"/>
      <c r="O186" s="44">
        <f>IFERROR(ROUND(L186*INDEX('Employee Database'!$L$3:$L$202,MATCH(E186,'Employee Database'!$A$3:$A$202,0))/100,2),0)</f>
        <v/>
      </c>
      <c r="P186" s="45" t="n"/>
      <c r="Q186" s="44">
        <f>SUM(M186:P186)</f>
        <v/>
      </c>
      <c r="R186" s="44">
        <f>L186-Q186</f>
        <v/>
      </c>
      <c r="S186" s="45" t="n"/>
      <c r="T186" s="44">
        <f>IFERROR(ROUND(L186*INDEX('Employee Database'!$M$3:$M$202,MATCH(E186,'Employee Database'!$A$3:$A$202,0))/100,2),0)</f>
        <v/>
      </c>
      <c r="U186" s="44">
        <f>SUM(L186,S186,T186)</f>
        <v/>
      </c>
      <c r="V186" s="46">
        <f>IF(E186="","",IF(OR(B186="",C186="",D186=""),"Missing period/date",IF(L186&lt;0,"Check gross pay",IF(R186&lt;0,"Deductions exceed gross","Review statutory amounts"))))</f>
        <v/>
      </c>
      <c r="W186" s="42" t="n"/>
      <c r="X186" s="47" t="n"/>
    </row>
    <row r="187">
      <c r="A187" s="42" t="n"/>
      <c r="B187" s="39" t="n"/>
      <c r="C187" s="39" t="n"/>
      <c r="D187" s="39" t="n"/>
      <c r="E187" s="42" t="n"/>
      <c r="F187" s="43">
        <f>IFERROR(INDEX('Employee Database'!$B$3:$B$202,MATCH(E187,'Employee Database'!$A$3:$A$202,0)),"")</f>
        <v/>
      </c>
      <c r="G187" s="43">
        <f>IFERROR(INDEX('Employee Database'!$F$3:$F$202,MATCH(E187,'Employee Database'!$A$3:$A$202,0)),"")</f>
        <v/>
      </c>
      <c r="H187" s="43">
        <f>IFERROR(INDEX('Employee Database'!$I$3:$I$202,MATCH(E187,'Employee Database'!$A$3:$A$202,0)),"")</f>
        <v/>
      </c>
      <c r="I187" s="44">
        <f>IFERROR(IF(H187="Monthly",INDEX('Employee Database'!$J$3:$J$202,MATCH(E187,'Employee Database'!$A$3:$A$202,0))/12,IF(H187="Weekly",INDEX('Employee Database'!$J$3:$J$202,MATCH(E187,'Employee Database'!$A$3:$A$202,0))/52,IF(H187="Fortnightly",INDEX('Employee Database'!$J$3:$J$202,MATCH(E187,'Employee Database'!$A$3:$A$202,0))/26,IF(H187="Four-weekly",INDEX('Employee Database'!$J$3:$J$202,MATCH(E187,'Employee Database'!$A$3:$A$202,0))/13,0))))),0)</f>
        <v/>
      </c>
      <c r="J187" s="45" t="n"/>
      <c r="K187" s="45" t="n"/>
      <c r="L187" s="44">
        <f>SUM(I187:K187)</f>
        <v/>
      </c>
      <c r="M187" s="45" t="n"/>
      <c r="N187" s="45" t="n"/>
      <c r="O187" s="44">
        <f>IFERROR(ROUND(L187*INDEX('Employee Database'!$L$3:$L$202,MATCH(E187,'Employee Database'!$A$3:$A$202,0))/100,2),0)</f>
        <v/>
      </c>
      <c r="P187" s="45" t="n"/>
      <c r="Q187" s="44">
        <f>SUM(M187:P187)</f>
        <v/>
      </c>
      <c r="R187" s="44">
        <f>L187-Q187</f>
        <v/>
      </c>
      <c r="S187" s="45" t="n"/>
      <c r="T187" s="44">
        <f>IFERROR(ROUND(L187*INDEX('Employee Database'!$M$3:$M$202,MATCH(E187,'Employee Database'!$A$3:$A$202,0))/100,2),0)</f>
        <v/>
      </c>
      <c r="U187" s="44">
        <f>SUM(L187,S187,T187)</f>
        <v/>
      </c>
      <c r="V187" s="46">
        <f>IF(E187="","",IF(OR(B187="",C187="",D187=""),"Missing period/date",IF(L187&lt;0,"Check gross pay",IF(R187&lt;0,"Deductions exceed gross","Review statutory amounts"))))</f>
        <v/>
      </c>
      <c r="W187" s="42" t="n"/>
      <c r="X187" s="47" t="n"/>
    </row>
    <row r="188">
      <c r="A188" s="42" t="n"/>
      <c r="B188" s="39" t="n"/>
      <c r="C188" s="39" t="n"/>
      <c r="D188" s="39" t="n"/>
      <c r="E188" s="42" t="n"/>
      <c r="F188" s="43">
        <f>IFERROR(INDEX('Employee Database'!$B$3:$B$202,MATCH(E188,'Employee Database'!$A$3:$A$202,0)),"")</f>
        <v/>
      </c>
      <c r="G188" s="43">
        <f>IFERROR(INDEX('Employee Database'!$F$3:$F$202,MATCH(E188,'Employee Database'!$A$3:$A$202,0)),"")</f>
        <v/>
      </c>
      <c r="H188" s="43">
        <f>IFERROR(INDEX('Employee Database'!$I$3:$I$202,MATCH(E188,'Employee Database'!$A$3:$A$202,0)),"")</f>
        <v/>
      </c>
      <c r="I188" s="44">
        <f>IFERROR(IF(H188="Monthly",INDEX('Employee Database'!$J$3:$J$202,MATCH(E188,'Employee Database'!$A$3:$A$202,0))/12,IF(H188="Weekly",INDEX('Employee Database'!$J$3:$J$202,MATCH(E188,'Employee Database'!$A$3:$A$202,0))/52,IF(H188="Fortnightly",INDEX('Employee Database'!$J$3:$J$202,MATCH(E188,'Employee Database'!$A$3:$A$202,0))/26,IF(H188="Four-weekly",INDEX('Employee Database'!$J$3:$J$202,MATCH(E188,'Employee Database'!$A$3:$A$202,0))/13,0))))),0)</f>
        <v/>
      </c>
      <c r="J188" s="45" t="n"/>
      <c r="K188" s="45" t="n"/>
      <c r="L188" s="44">
        <f>SUM(I188:K188)</f>
        <v/>
      </c>
      <c r="M188" s="45" t="n"/>
      <c r="N188" s="45" t="n"/>
      <c r="O188" s="44">
        <f>IFERROR(ROUND(L188*INDEX('Employee Database'!$L$3:$L$202,MATCH(E188,'Employee Database'!$A$3:$A$202,0))/100,2),0)</f>
        <v/>
      </c>
      <c r="P188" s="45" t="n"/>
      <c r="Q188" s="44">
        <f>SUM(M188:P188)</f>
        <v/>
      </c>
      <c r="R188" s="44">
        <f>L188-Q188</f>
        <v/>
      </c>
      <c r="S188" s="45" t="n"/>
      <c r="T188" s="44">
        <f>IFERROR(ROUND(L188*INDEX('Employee Database'!$M$3:$M$202,MATCH(E188,'Employee Database'!$A$3:$A$202,0))/100,2),0)</f>
        <v/>
      </c>
      <c r="U188" s="44">
        <f>SUM(L188,S188,T188)</f>
        <v/>
      </c>
      <c r="V188" s="46">
        <f>IF(E188="","",IF(OR(B188="",C188="",D188=""),"Missing period/date",IF(L188&lt;0,"Check gross pay",IF(R188&lt;0,"Deductions exceed gross","Review statutory amounts"))))</f>
        <v/>
      </c>
      <c r="W188" s="42" t="n"/>
      <c r="X188" s="47" t="n"/>
    </row>
    <row r="189">
      <c r="A189" s="42" t="n"/>
      <c r="B189" s="39" t="n"/>
      <c r="C189" s="39" t="n"/>
      <c r="D189" s="39" t="n"/>
      <c r="E189" s="42" t="n"/>
      <c r="F189" s="43">
        <f>IFERROR(INDEX('Employee Database'!$B$3:$B$202,MATCH(E189,'Employee Database'!$A$3:$A$202,0)),"")</f>
        <v/>
      </c>
      <c r="G189" s="43">
        <f>IFERROR(INDEX('Employee Database'!$F$3:$F$202,MATCH(E189,'Employee Database'!$A$3:$A$202,0)),"")</f>
        <v/>
      </c>
      <c r="H189" s="43">
        <f>IFERROR(INDEX('Employee Database'!$I$3:$I$202,MATCH(E189,'Employee Database'!$A$3:$A$202,0)),"")</f>
        <v/>
      </c>
      <c r="I189" s="44">
        <f>IFERROR(IF(H189="Monthly",INDEX('Employee Database'!$J$3:$J$202,MATCH(E189,'Employee Database'!$A$3:$A$202,0))/12,IF(H189="Weekly",INDEX('Employee Database'!$J$3:$J$202,MATCH(E189,'Employee Database'!$A$3:$A$202,0))/52,IF(H189="Fortnightly",INDEX('Employee Database'!$J$3:$J$202,MATCH(E189,'Employee Database'!$A$3:$A$202,0))/26,IF(H189="Four-weekly",INDEX('Employee Database'!$J$3:$J$202,MATCH(E189,'Employee Database'!$A$3:$A$202,0))/13,0))))),0)</f>
        <v/>
      </c>
      <c r="J189" s="45" t="n"/>
      <c r="K189" s="45" t="n"/>
      <c r="L189" s="44">
        <f>SUM(I189:K189)</f>
        <v/>
      </c>
      <c r="M189" s="45" t="n"/>
      <c r="N189" s="45" t="n"/>
      <c r="O189" s="44">
        <f>IFERROR(ROUND(L189*INDEX('Employee Database'!$L$3:$L$202,MATCH(E189,'Employee Database'!$A$3:$A$202,0))/100,2),0)</f>
        <v/>
      </c>
      <c r="P189" s="45" t="n"/>
      <c r="Q189" s="44">
        <f>SUM(M189:P189)</f>
        <v/>
      </c>
      <c r="R189" s="44">
        <f>L189-Q189</f>
        <v/>
      </c>
      <c r="S189" s="45" t="n"/>
      <c r="T189" s="44">
        <f>IFERROR(ROUND(L189*INDEX('Employee Database'!$M$3:$M$202,MATCH(E189,'Employee Database'!$A$3:$A$202,0))/100,2),0)</f>
        <v/>
      </c>
      <c r="U189" s="44">
        <f>SUM(L189,S189,T189)</f>
        <v/>
      </c>
      <c r="V189" s="46">
        <f>IF(E189="","",IF(OR(B189="",C189="",D189=""),"Missing period/date",IF(L189&lt;0,"Check gross pay",IF(R189&lt;0,"Deductions exceed gross","Review statutory amounts"))))</f>
        <v/>
      </c>
      <c r="W189" s="42" t="n"/>
      <c r="X189" s="47" t="n"/>
    </row>
    <row r="190">
      <c r="A190" s="42" t="n"/>
      <c r="B190" s="39" t="n"/>
      <c r="C190" s="39" t="n"/>
      <c r="D190" s="39" t="n"/>
      <c r="E190" s="42" t="n"/>
      <c r="F190" s="43">
        <f>IFERROR(INDEX('Employee Database'!$B$3:$B$202,MATCH(E190,'Employee Database'!$A$3:$A$202,0)),"")</f>
        <v/>
      </c>
      <c r="G190" s="43">
        <f>IFERROR(INDEX('Employee Database'!$F$3:$F$202,MATCH(E190,'Employee Database'!$A$3:$A$202,0)),"")</f>
        <v/>
      </c>
      <c r="H190" s="43">
        <f>IFERROR(INDEX('Employee Database'!$I$3:$I$202,MATCH(E190,'Employee Database'!$A$3:$A$202,0)),"")</f>
        <v/>
      </c>
      <c r="I190" s="44">
        <f>IFERROR(IF(H190="Monthly",INDEX('Employee Database'!$J$3:$J$202,MATCH(E190,'Employee Database'!$A$3:$A$202,0))/12,IF(H190="Weekly",INDEX('Employee Database'!$J$3:$J$202,MATCH(E190,'Employee Database'!$A$3:$A$202,0))/52,IF(H190="Fortnightly",INDEX('Employee Database'!$J$3:$J$202,MATCH(E190,'Employee Database'!$A$3:$A$202,0))/26,IF(H190="Four-weekly",INDEX('Employee Database'!$J$3:$J$202,MATCH(E190,'Employee Database'!$A$3:$A$202,0))/13,0))))),0)</f>
        <v/>
      </c>
      <c r="J190" s="45" t="n"/>
      <c r="K190" s="45" t="n"/>
      <c r="L190" s="44">
        <f>SUM(I190:K190)</f>
        <v/>
      </c>
      <c r="M190" s="45" t="n"/>
      <c r="N190" s="45" t="n"/>
      <c r="O190" s="44">
        <f>IFERROR(ROUND(L190*INDEX('Employee Database'!$L$3:$L$202,MATCH(E190,'Employee Database'!$A$3:$A$202,0))/100,2),0)</f>
        <v/>
      </c>
      <c r="P190" s="45" t="n"/>
      <c r="Q190" s="44">
        <f>SUM(M190:P190)</f>
        <v/>
      </c>
      <c r="R190" s="44">
        <f>L190-Q190</f>
        <v/>
      </c>
      <c r="S190" s="45" t="n"/>
      <c r="T190" s="44">
        <f>IFERROR(ROUND(L190*INDEX('Employee Database'!$M$3:$M$202,MATCH(E190,'Employee Database'!$A$3:$A$202,0))/100,2),0)</f>
        <v/>
      </c>
      <c r="U190" s="44">
        <f>SUM(L190,S190,T190)</f>
        <v/>
      </c>
      <c r="V190" s="46">
        <f>IF(E190="","",IF(OR(B190="",C190="",D190=""),"Missing period/date",IF(L190&lt;0,"Check gross pay",IF(R190&lt;0,"Deductions exceed gross","Review statutory amounts"))))</f>
        <v/>
      </c>
      <c r="W190" s="42" t="n"/>
      <c r="X190" s="47" t="n"/>
    </row>
    <row r="191">
      <c r="A191" s="42" t="n"/>
      <c r="B191" s="39" t="n"/>
      <c r="C191" s="39" t="n"/>
      <c r="D191" s="39" t="n"/>
      <c r="E191" s="42" t="n"/>
      <c r="F191" s="43">
        <f>IFERROR(INDEX('Employee Database'!$B$3:$B$202,MATCH(E191,'Employee Database'!$A$3:$A$202,0)),"")</f>
        <v/>
      </c>
      <c r="G191" s="43">
        <f>IFERROR(INDEX('Employee Database'!$F$3:$F$202,MATCH(E191,'Employee Database'!$A$3:$A$202,0)),"")</f>
        <v/>
      </c>
      <c r="H191" s="43">
        <f>IFERROR(INDEX('Employee Database'!$I$3:$I$202,MATCH(E191,'Employee Database'!$A$3:$A$202,0)),"")</f>
        <v/>
      </c>
      <c r="I191" s="44">
        <f>IFERROR(IF(H191="Monthly",INDEX('Employee Database'!$J$3:$J$202,MATCH(E191,'Employee Database'!$A$3:$A$202,0))/12,IF(H191="Weekly",INDEX('Employee Database'!$J$3:$J$202,MATCH(E191,'Employee Database'!$A$3:$A$202,0))/52,IF(H191="Fortnightly",INDEX('Employee Database'!$J$3:$J$202,MATCH(E191,'Employee Database'!$A$3:$A$202,0))/26,IF(H191="Four-weekly",INDEX('Employee Database'!$J$3:$J$202,MATCH(E191,'Employee Database'!$A$3:$A$202,0))/13,0))))),0)</f>
        <v/>
      </c>
      <c r="J191" s="45" t="n"/>
      <c r="K191" s="45" t="n"/>
      <c r="L191" s="44">
        <f>SUM(I191:K191)</f>
        <v/>
      </c>
      <c r="M191" s="45" t="n"/>
      <c r="N191" s="45" t="n"/>
      <c r="O191" s="44">
        <f>IFERROR(ROUND(L191*INDEX('Employee Database'!$L$3:$L$202,MATCH(E191,'Employee Database'!$A$3:$A$202,0))/100,2),0)</f>
        <v/>
      </c>
      <c r="P191" s="45" t="n"/>
      <c r="Q191" s="44">
        <f>SUM(M191:P191)</f>
        <v/>
      </c>
      <c r="R191" s="44">
        <f>L191-Q191</f>
        <v/>
      </c>
      <c r="S191" s="45" t="n"/>
      <c r="T191" s="44">
        <f>IFERROR(ROUND(L191*INDEX('Employee Database'!$M$3:$M$202,MATCH(E191,'Employee Database'!$A$3:$A$202,0))/100,2),0)</f>
        <v/>
      </c>
      <c r="U191" s="44">
        <f>SUM(L191,S191,T191)</f>
        <v/>
      </c>
      <c r="V191" s="46">
        <f>IF(E191="","",IF(OR(B191="",C191="",D191=""),"Missing period/date",IF(L191&lt;0,"Check gross pay",IF(R191&lt;0,"Deductions exceed gross","Review statutory amounts"))))</f>
        <v/>
      </c>
      <c r="W191" s="42" t="n"/>
      <c r="X191" s="47" t="n"/>
    </row>
    <row r="192">
      <c r="A192" s="42" t="n"/>
      <c r="B192" s="39" t="n"/>
      <c r="C192" s="39" t="n"/>
      <c r="D192" s="39" t="n"/>
      <c r="E192" s="42" t="n"/>
      <c r="F192" s="43">
        <f>IFERROR(INDEX('Employee Database'!$B$3:$B$202,MATCH(E192,'Employee Database'!$A$3:$A$202,0)),"")</f>
        <v/>
      </c>
      <c r="G192" s="43">
        <f>IFERROR(INDEX('Employee Database'!$F$3:$F$202,MATCH(E192,'Employee Database'!$A$3:$A$202,0)),"")</f>
        <v/>
      </c>
      <c r="H192" s="43">
        <f>IFERROR(INDEX('Employee Database'!$I$3:$I$202,MATCH(E192,'Employee Database'!$A$3:$A$202,0)),"")</f>
        <v/>
      </c>
      <c r="I192" s="44">
        <f>IFERROR(IF(H192="Monthly",INDEX('Employee Database'!$J$3:$J$202,MATCH(E192,'Employee Database'!$A$3:$A$202,0))/12,IF(H192="Weekly",INDEX('Employee Database'!$J$3:$J$202,MATCH(E192,'Employee Database'!$A$3:$A$202,0))/52,IF(H192="Fortnightly",INDEX('Employee Database'!$J$3:$J$202,MATCH(E192,'Employee Database'!$A$3:$A$202,0))/26,IF(H192="Four-weekly",INDEX('Employee Database'!$J$3:$J$202,MATCH(E192,'Employee Database'!$A$3:$A$202,0))/13,0))))),0)</f>
        <v/>
      </c>
      <c r="J192" s="45" t="n"/>
      <c r="K192" s="45" t="n"/>
      <c r="L192" s="44">
        <f>SUM(I192:K192)</f>
        <v/>
      </c>
      <c r="M192" s="45" t="n"/>
      <c r="N192" s="45" t="n"/>
      <c r="O192" s="44">
        <f>IFERROR(ROUND(L192*INDEX('Employee Database'!$L$3:$L$202,MATCH(E192,'Employee Database'!$A$3:$A$202,0))/100,2),0)</f>
        <v/>
      </c>
      <c r="P192" s="45" t="n"/>
      <c r="Q192" s="44">
        <f>SUM(M192:P192)</f>
        <v/>
      </c>
      <c r="R192" s="44">
        <f>L192-Q192</f>
        <v/>
      </c>
      <c r="S192" s="45" t="n"/>
      <c r="T192" s="44">
        <f>IFERROR(ROUND(L192*INDEX('Employee Database'!$M$3:$M$202,MATCH(E192,'Employee Database'!$A$3:$A$202,0))/100,2),0)</f>
        <v/>
      </c>
      <c r="U192" s="44">
        <f>SUM(L192,S192,T192)</f>
        <v/>
      </c>
      <c r="V192" s="46">
        <f>IF(E192="","",IF(OR(B192="",C192="",D192=""),"Missing period/date",IF(L192&lt;0,"Check gross pay",IF(R192&lt;0,"Deductions exceed gross","Review statutory amounts"))))</f>
        <v/>
      </c>
      <c r="W192" s="42" t="n"/>
      <c r="X192" s="47" t="n"/>
    </row>
    <row r="193">
      <c r="A193" s="42" t="n"/>
      <c r="B193" s="39" t="n"/>
      <c r="C193" s="39" t="n"/>
      <c r="D193" s="39" t="n"/>
      <c r="E193" s="42" t="n"/>
      <c r="F193" s="43">
        <f>IFERROR(INDEX('Employee Database'!$B$3:$B$202,MATCH(E193,'Employee Database'!$A$3:$A$202,0)),"")</f>
        <v/>
      </c>
      <c r="G193" s="43">
        <f>IFERROR(INDEX('Employee Database'!$F$3:$F$202,MATCH(E193,'Employee Database'!$A$3:$A$202,0)),"")</f>
        <v/>
      </c>
      <c r="H193" s="43">
        <f>IFERROR(INDEX('Employee Database'!$I$3:$I$202,MATCH(E193,'Employee Database'!$A$3:$A$202,0)),"")</f>
        <v/>
      </c>
      <c r="I193" s="44">
        <f>IFERROR(IF(H193="Monthly",INDEX('Employee Database'!$J$3:$J$202,MATCH(E193,'Employee Database'!$A$3:$A$202,0))/12,IF(H193="Weekly",INDEX('Employee Database'!$J$3:$J$202,MATCH(E193,'Employee Database'!$A$3:$A$202,0))/52,IF(H193="Fortnightly",INDEX('Employee Database'!$J$3:$J$202,MATCH(E193,'Employee Database'!$A$3:$A$202,0))/26,IF(H193="Four-weekly",INDEX('Employee Database'!$J$3:$J$202,MATCH(E193,'Employee Database'!$A$3:$A$202,0))/13,0))))),0)</f>
        <v/>
      </c>
      <c r="J193" s="45" t="n"/>
      <c r="K193" s="45" t="n"/>
      <c r="L193" s="44">
        <f>SUM(I193:K193)</f>
        <v/>
      </c>
      <c r="M193" s="45" t="n"/>
      <c r="N193" s="45" t="n"/>
      <c r="O193" s="44">
        <f>IFERROR(ROUND(L193*INDEX('Employee Database'!$L$3:$L$202,MATCH(E193,'Employee Database'!$A$3:$A$202,0))/100,2),0)</f>
        <v/>
      </c>
      <c r="P193" s="45" t="n"/>
      <c r="Q193" s="44">
        <f>SUM(M193:P193)</f>
        <v/>
      </c>
      <c r="R193" s="44">
        <f>L193-Q193</f>
        <v/>
      </c>
      <c r="S193" s="45" t="n"/>
      <c r="T193" s="44">
        <f>IFERROR(ROUND(L193*INDEX('Employee Database'!$M$3:$M$202,MATCH(E193,'Employee Database'!$A$3:$A$202,0))/100,2),0)</f>
        <v/>
      </c>
      <c r="U193" s="44">
        <f>SUM(L193,S193,T193)</f>
        <v/>
      </c>
      <c r="V193" s="46">
        <f>IF(E193="","",IF(OR(B193="",C193="",D193=""),"Missing period/date",IF(L193&lt;0,"Check gross pay",IF(R193&lt;0,"Deductions exceed gross","Review statutory amounts"))))</f>
        <v/>
      </c>
      <c r="W193" s="42" t="n"/>
      <c r="X193" s="47" t="n"/>
    </row>
    <row r="194">
      <c r="A194" s="42" t="n"/>
      <c r="B194" s="39" t="n"/>
      <c r="C194" s="39" t="n"/>
      <c r="D194" s="39" t="n"/>
      <c r="E194" s="42" t="n"/>
      <c r="F194" s="43">
        <f>IFERROR(INDEX('Employee Database'!$B$3:$B$202,MATCH(E194,'Employee Database'!$A$3:$A$202,0)),"")</f>
        <v/>
      </c>
      <c r="G194" s="43">
        <f>IFERROR(INDEX('Employee Database'!$F$3:$F$202,MATCH(E194,'Employee Database'!$A$3:$A$202,0)),"")</f>
        <v/>
      </c>
      <c r="H194" s="43">
        <f>IFERROR(INDEX('Employee Database'!$I$3:$I$202,MATCH(E194,'Employee Database'!$A$3:$A$202,0)),"")</f>
        <v/>
      </c>
      <c r="I194" s="44">
        <f>IFERROR(IF(H194="Monthly",INDEX('Employee Database'!$J$3:$J$202,MATCH(E194,'Employee Database'!$A$3:$A$202,0))/12,IF(H194="Weekly",INDEX('Employee Database'!$J$3:$J$202,MATCH(E194,'Employee Database'!$A$3:$A$202,0))/52,IF(H194="Fortnightly",INDEX('Employee Database'!$J$3:$J$202,MATCH(E194,'Employee Database'!$A$3:$A$202,0))/26,IF(H194="Four-weekly",INDEX('Employee Database'!$J$3:$J$202,MATCH(E194,'Employee Database'!$A$3:$A$202,0))/13,0))))),0)</f>
        <v/>
      </c>
      <c r="J194" s="45" t="n"/>
      <c r="K194" s="45" t="n"/>
      <c r="L194" s="44">
        <f>SUM(I194:K194)</f>
        <v/>
      </c>
      <c r="M194" s="45" t="n"/>
      <c r="N194" s="45" t="n"/>
      <c r="O194" s="44">
        <f>IFERROR(ROUND(L194*INDEX('Employee Database'!$L$3:$L$202,MATCH(E194,'Employee Database'!$A$3:$A$202,0))/100,2),0)</f>
        <v/>
      </c>
      <c r="P194" s="45" t="n"/>
      <c r="Q194" s="44">
        <f>SUM(M194:P194)</f>
        <v/>
      </c>
      <c r="R194" s="44">
        <f>L194-Q194</f>
        <v/>
      </c>
      <c r="S194" s="45" t="n"/>
      <c r="T194" s="44">
        <f>IFERROR(ROUND(L194*INDEX('Employee Database'!$M$3:$M$202,MATCH(E194,'Employee Database'!$A$3:$A$202,0))/100,2),0)</f>
        <v/>
      </c>
      <c r="U194" s="44">
        <f>SUM(L194,S194,T194)</f>
        <v/>
      </c>
      <c r="V194" s="46">
        <f>IF(E194="","",IF(OR(B194="",C194="",D194=""),"Missing period/date",IF(L194&lt;0,"Check gross pay",IF(R194&lt;0,"Deductions exceed gross","Review statutory amounts"))))</f>
        <v/>
      </c>
      <c r="W194" s="42" t="n"/>
      <c r="X194" s="47" t="n"/>
    </row>
    <row r="195">
      <c r="A195" s="42" t="n"/>
      <c r="B195" s="39" t="n"/>
      <c r="C195" s="39" t="n"/>
      <c r="D195" s="39" t="n"/>
      <c r="E195" s="42" t="n"/>
      <c r="F195" s="43">
        <f>IFERROR(INDEX('Employee Database'!$B$3:$B$202,MATCH(E195,'Employee Database'!$A$3:$A$202,0)),"")</f>
        <v/>
      </c>
      <c r="G195" s="43">
        <f>IFERROR(INDEX('Employee Database'!$F$3:$F$202,MATCH(E195,'Employee Database'!$A$3:$A$202,0)),"")</f>
        <v/>
      </c>
      <c r="H195" s="43">
        <f>IFERROR(INDEX('Employee Database'!$I$3:$I$202,MATCH(E195,'Employee Database'!$A$3:$A$202,0)),"")</f>
        <v/>
      </c>
      <c r="I195" s="44">
        <f>IFERROR(IF(H195="Monthly",INDEX('Employee Database'!$J$3:$J$202,MATCH(E195,'Employee Database'!$A$3:$A$202,0))/12,IF(H195="Weekly",INDEX('Employee Database'!$J$3:$J$202,MATCH(E195,'Employee Database'!$A$3:$A$202,0))/52,IF(H195="Fortnightly",INDEX('Employee Database'!$J$3:$J$202,MATCH(E195,'Employee Database'!$A$3:$A$202,0))/26,IF(H195="Four-weekly",INDEX('Employee Database'!$J$3:$J$202,MATCH(E195,'Employee Database'!$A$3:$A$202,0))/13,0))))),0)</f>
        <v/>
      </c>
      <c r="J195" s="45" t="n"/>
      <c r="K195" s="45" t="n"/>
      <c r="L195" s="44">
        <f>SUM(I195:K195)</f>
        <v/>
      </c>
      <c r="M195" s="45" t="n"/>
      <c r="N195" s="45" t="n"/>
      <c r="O195" s="44">
        <f>IFERROR(ROUND(L195*INDEX('Employee Database'!$L$3:$L$202,MATCH(E195,'Employee Database'!$A$3:$A$202,0))/100,2),0)</f>
        <v/>
      </c>
      <c r="P195" s="45" t="n"/>
      <c r="Q195" s="44">
        <f>SUM(M195:P195)</f>
        <v/>
      </c>
      <c r="R195" s="44">
        <f>L195-Q195</f>
        <v/>
      </c>
      <c r="S195" s="45" t="n"/>
      <c r="T195" s="44">
        <f>IFERROR(ROUND(L195*INDEX('Employee Database'!$M$3:$M$202,MATCH(E195,'Employee Database'!$A$3:$A$202,0))/100,2),0)</f>
        <v/>
      </c>
      <c r="U195" s="44">
        <f>SUM(L195,S195,T195)</f>
        <v/>
      </c>
      <c r="V195" s="46">
        <f>IF(E195="","",IF(OR(B195="",C195="",D195=""),"Missing period/date",IF(L195&lt;0,"Check gross pay",IF(R195&lt;0,"Deductions exceed gross","Review statutory amounts"))))</f>
        <v/>
      </c>
      <c r="W195" s="42" t="n"/>
      <c r="X195" s="47" t="n"/>
    </row>
    <row r="196">
      <c r="A196" s="42" t="n"/>
      <c r="B196" s="39" t="n"/>
      <c r="C196" s="39" t="n"/>
      <c r="D196" s="39" t="n"/>
      <c r="E196" s="42" t="n"/>
      <c r="F196" s="43">
        <f>IFERROR(INDEX('Employee Database'!$B$3:$B$202,MATCH(E196,'Employee Database'!$A$3:$A$202,0)),"")</f>
        <v/>
      </c>
      <c r="G196" s="43">
        <f>IFERROR(INDEX('Employee Database'!$F$3:$F$202,MATCH(E196,'Employee Database'!$A$3:$A$202,0)),"")</f>
        <v/>
      </c>
      <c r="H196" s="43">
        <f>IFERROR(INDEX('Employee Database'!$I$3:$I$202,MATCH(E196,'Employee Database'!$A$3:$A$202,0)),"")</f>
        <v/>
      </c>
      <c r="I196" s="44">
        <f>IFERROR(IF(H196="Monthly",INDEX('Employee Database'!$J$3:$J$202,MATCH(E196,'Employee Database'!$A$3:$A$202,0))/12,IF(H196="Weekly",INDEX('Employee Database'!$J$3:$J$202,MATCH(E196,'Employee Database'!$A$3:$A$202,0))/52,IF(H196="Fortnightly",INDEX('Employee Database'!$J$3:$J$202,MATCH(E196,'Employee Database'!$A$3:$A$202,0))/26,IF(H196="Four-weekly",INDEX('Employee Database'!$J$3:$J$202,MATCH(E196,'Employee Database'!$A$3:$A$202,0))/13,0))))),0)</f>
        <v/>
      </c>
      <c r="J196" s="45" t="n"/>
      <c r="K196" s="45" t="n"/>
      <c r="L196" s="44">
        <f>SUM(I196:K196)</f>
        <v/>
      </c>
      <c r="M196" s="45" t="n"/>
      <c r="N196" s="45" t="n"/>
      <c r="O196" s="44">
        <f>IFERROR(ROUND(L196*INDEX('Employee Database'!$L$3:$L$202,MATCH(E196,'Employee Database'!$A$3:$A$202,0))/100,2),0)</f>
        <v/>
      </c>
      <c r="P196" s="45" t="n"/>
      <c r="Q196" s="44">
        <f>SUM(M196:P196)</f>
        <v/>
      </c>
      <c r="R196" s="44">
        <f>L196-Q196</f>
        <v/>
      </c>
      <c r="S196" s="45" t="n"/>
      <c r="T196" s="44">
        <f>IFERROR(ROUND(L196*INDEX('Employee Database'!$M$3:$M$202,MATCH(E196,'Employee Database'!$A$3:$A$202,0))/100,2),0)</f>
        <v/>
      </c>
      <c r="U196" s="44">
        <f>SUM(L196,S196,T196)</f>
        <v/>
      </c>
      <c r="V196" s="46">
        <f>IF(E196="","",IF(OR(B196="",C196="",D196=""),"Missing period/date",IF(L196&lt;0,"Check gross pay",IF(R196&lt;0,"Deductions exceed gross","Review statutory amounts"))))</f>
        <v/>
      </c>
      <c r="W196" s="42" t="n"/>
      <c r="X196" s="47" t="n"/>
    </row>
    <row r="197">
      <c r="A197" s="42" t="n"/>
      <c r="B197" s="39" t="n"/>
      <c r="C197" s="39" t="n"/>
      <c r="D197" s="39" t="n"/>
      <c r="E197" s="42" t="n"/>
      <c r="F197" s="43">
        <f>IFERROR(INDEX('Employee Database'!$B$3:$B$202,MATCH(E197,'Employee Database'!$A$3:$A$202,0)),"")</f>
        <v/>
      </c>
      <c r="G197" s="43">
        <f>IFERROR(INDEX('Employee Database'!$F$3:$F$202,MATCH(E197,'Employee Database'!$A$3:$A$202,0)),"")</f>
        <v/>
      </c>
      <c r="H197" s="43">
        <f>IFERROR(INDEX('Employee Database'!$I$3:$I$202,MATCH(E197,'Employee Database'!$A$3:$A$202,0)),"")</f>
        <v/>
      </c>
      <c r="I197" s="44">
        <f>IFERROR(IF(H197="Monthly",INDEX('Employee Database'!$J$3:$J$202,MATCH(E197,'Employee Database'!$A$3:$A$202,0))/12,IF(H197="Weekly",INDEX('Employee Database'!$J$3:$J$202,MATCH(E197,'Employee Database'!$A$3:$A$202,0))/52,IF(H197="Fortnightly",INDEX('Employee Database'!$J$3:$J$202,MATCH(E197,'Employee Database'!$A$3:$A$202,0))/26,IF(H197="Four-weekly",INDEX('Employee Database'!$J$3:$J$202,MATCH(E197,'Employee Database'!$A$3:$A$202,0))/13,0))))),0)</f>
        <v/>
      </c>
      <c r="J197" s="45" t="n"/>
      <c r="K197" s="45" t="n"/>
      <c r="L197" s="44">
        <f>SUM(I197:K197)</f>
        <v/>
      </c>
      <c r="M197" s="45" t="n"/>
      <c r="N197" s="45" t="n"/>
      <c r="O197" s="44">
        <f>IFERROR(ROUND(L197*INDEX('Employee Database'!$L$3:$L$202,MATCH(E197,'Employee Database'!$A$3:$A$202,0))/100,2),0)</f>
        <v/>
      </c>
      <c r="P197" s="45" t="n"/>
      <c r="Q197" s="44">
        <f>SUM(M197:P197)</f>
        <v/>
      </c>
      <c r="R197" s="44">
        <f>L197-Q197</f>
        <v/>
      </c>
      <c r="S197" s="45" t="n"/>
      <c r="T197" s="44">
        <f>IFERROR(ROUND(L197*INDEX('Employee Database'!$M$3:$M$202,MATCH(E197,'Employee Database'!$A$3:$A$202,0))/100,2),0)</f>
        <v/>
      </c>
      <c r="U197" s="44">
        <f>SUM(L197,S197,T197)</f>
        <v/>
      </c>
      <c r="V197" s="46">
        <f>IF(E197="","",IF(OR(B197="",C197="",D197=""),"Missing period/date",IF(L197&lt;0,"Check gross pay",IF(R197&lt;0,"Deductions exceed gross","Review statutory amounts"))))</f>
        <v/>
      </c>
      <c r="W197" s="42" t="n"/>
      <c r="X197" s="47" t="n"/>
    </row>
    <row r="198">
      <c r="A198" s="42" t="n"/>
      <c r="B198" s="39" t="n"/>
      <c r="C198" s="39" t="n"/>
      <c r="D198" s="39" t="n"/>
      <c r="E198" s="42" t="n"/>
      <c r="F198" s="43">
        <f>IFERROR(INDEX('Employee Database'!$B$3:$B$202,MATCH(E198,'Employee Database'!$A$3:$A$202,0)),"")</f>
        <v/>
      </c>
      <c r="G198" s="43">
        <f>IFERROR(INDEX('Employee Database'!$F$3:$F$202,MATCH(E198,'Employee Database'!$A$3:$A$202,0)),"")</f>
        <v/>
      </c>
      <c r="H198" s="43">
        <f>IFERROR(INDEX('Employee Database'!$I$3:$I$202,MATCH(E198,'Employee Database'!$A$3:$A$202,0)),"")</f>
        <v/>
      </c>
      <c r="I198" s="44">
        <f>IFERROR(IF(H198="Monthly",INDEX('Employee Database'!$J$3:$J$202,MATCH(E198,'Employee Database'!$A$3:$A$202,0))/12,IF(H198="Weekly",INDEX('Employee Database'!$J$3:$J$202,MATCH(E198,'Employee Database'!$A$3:$A$202,0))/52,IF(H198="Fortnightly",INDEX('Employee Database'!$J$3:$J$202,MATCH(E198,'Employee Database'!$A$3:$A$202,0))/26,IF(H198="Four-weekly",INDEX('Employee Database'!$J$3:$J$202,MATCH(E198,'Employee Database'!$A$3:$A$202,0))/13,0))))),0)</f>
        <v/>
      </c>
      <c r="J198" s="45" t="n"/>
      <c r="K198" s="45" t="n"/>
      <c r="L198" s="44">
        <f>SUM(I198:K198)</f>
        <v/>
      </c>
      <c r="M198" s="45" t="n"/>
      <c r="N198" s="45" t="n"/>
      <c r="O198" s="44">
        <f>IFERROR(ROUND(L198*INDEX('Employee Database'!$L$3:$L$202,MATCH(E198,'Employee Database'!$A$3:$A$202,0))/100,2),0)</f>
        <v/>
      </c>
      <c r="P198" s="45" t="n"/>
      <c r="Q198" s="44">
        <f>SUM(M198:P198)</f>
        <v/>
      </c>
      <c r="R198" s="44">
        <f>L198-Q198</f>
        <v/>
      </c>
      <c r="S198" s="45" t="n"/>
      <c r="T198" s="44">
        <f>IFERROR(ROUND(L198*INDEX('Employee Database'!$M$3:$M$202,MATCH(E198,'Employee Database'!$A$3:$A$202,0))/100,2),0)</f>
        <v/>
      </c>
      <c r="U198" s="44">
        <f>SUM(L198,S198,T198)</f>
        <v/>
      </c>
      <c r="V198" s="46">
        <f>IF(E198="","",IF(OR(B198="",C198="",D198=""),"Missing period/date",IF(L198&lt;0,"Check gross pay",IF(R198&lt;0,"Deductions exceed gross","Review statutory amounts"))))</f>
        <v/>
      </c>
      <c r="W198" s="42" t="n"/>
      <c r="X198" s="47" t="n"/>
    </row>
    <row r="199">
      <c r="A199" s="42" t="n"/>
      <c r="B199" s="39" t="n"/>
      <c r="C199" s="39" t="n"/>
      <c r="D199" s="39" t="n"/>
      <c r="E199" s="42" t="n"/>
      <c r="F199" s="43">
        <f>IFERROR(INDEX('Employee Database'!$B$3:$B$202,MATCH(E199,'Employee Database'!$A$3:$A$202,0)),"")</f>
        <v/>
      </c>
      <c r="G199" s="43">
        <f>IFERROR(INDEX('Employee Database'!$F$3:$F$202,MATCH(E199,'Employee Database'!$A$3:$A$202,0)),"")</f>
        <v/>
      </c>
      <c r="H199" s="43">
        <f>IFERROR(INDEX('Employee Database'!$I$3:$I$202,MATCH(E199,'Employee Database'!$A$3:$A$202,0)),"")</f>
        <v/>
      </c>
      <c r="I199" s="44">
        <f>IFERROR(IF(H199="Monthly",INDEX('Employee Database'!$J$3:$J$202,MATCH(E199,'Employee Database'!$A$3:$A$202,0))/12,IF(H199="Weekly",INDEX('Employee Database'!$J$3:$J$202,MATCH(E199,'Employee Database'!$A$3:$A$202,0))/52,IF(H199="Fortnightly",INDEX('Employee Database'!$J$3:$J$202,MATCH(E199,'Employee Database'!$A$3:$A$202,0))/26,IF(H199="Four-weekly",INDEX('Employee Database'!$J$3:$J$202,MATCH(E199,'Employee Database'!$A$3:$A$202,0))/13,0))))),0)</f>
        <v/>
      </c>
      <c r="J199" s="45" t="n"/>
      <c r="K199" s="45" t="n"/>
      <c r="L199" s="44">
        <f>SUM(I199:K199)</f>
        <v/>
      </c>
      <c r="M199" s="45" t="n"/>
      <c r="N199" s="45" t="n"/>
      <c r="O199" s="44">
        <f>IFERROR(ROUND(L199*INDEX('Employee Database'!$L$3:$L$202,MATCH(E199,'Employee Database'!$A$3:$A$202,0))/100,2),0)</f>
        <v/>
      </c>
      <c r="P199" s="45" t="n"/>
      <c r="Q199" s="44">
        <f>SUM(M199:P199)</f>
        <v/>
      </c>
      <c r="R199" s="44">
        <f>L199-Q199</f>
        <v/>
      </c>
      <c r="S199" s="45" t="n"/>
      <c r="T199" s="44">
        <f>IFERROR(ROUND(L199*INDEX('Employee Database'!$M$3:$M$202,MATCH(E199,'Employee Database'!$A$3:$A$202,0))/100,2),0)</f>
        <v/>
      </c>
      <c r="U199" s="44">
        <f>SUM(L199,S199,T199)</f>
        <v/>
      </c>
      <c r="V199" s="46">
        <f>IF(E199="","",IF(OR(B199="",C199="",D199=""),"Missing period/date",IF(L199&lt;0,"Check gross pay",IF(R199&lt;0,"Deductions exceed gross","Review statutory amounts"))))</f>
        <v/>
      </c>
      <c r="W199" s="42" t="n"/>
      <c r="X199" s="47" t="n"/>
    </row>
    <row r="200">
      <c r="A200" s="42" t="n"/>
      <c r="B200" s="39" t="n"/>
      <c r="C200" s="39" t="n"/>
      <c r="D200" s="39" t="n"/>
      <c r="E200" s="42" t="n"/>
      <c r="F200" s="43">
        <f>IFERROR(INDEX('Employee Database'!$B$3:$B$202,MATCH(E200,'Employee Database'!$A$3:$A$202,0)),"")</f>
        <v/>
      </c>
      <c r="G200" s="43">
        <f>IFERROR(INDEX('Employee Database'!$F$3:$F$202,MATCH(E200,'Employee Database'!$A$3:$A$202,0)),"")</f>
        <v/>
      </c>
      <c r="H200" s="43">
        <f>IFERROR(INDEX('Employee Database'!$I$3:$I$202,MATCH(E200,'Employee Database'!$A$3:$A$202,0)),"")</f>
        <v/>
      </c>
      <c r="I200" s="44">
        <f>IFERROR(IF(H200="Monthly",INDEX('Employee Database'!$J$3:$J$202,MATCH(E200,'Employee Database'!$A$3:$A$202,0))/12,IF(H200="Weekly",INDEX('Employee Database'!$J$3:$J$202,MATCH(E200,'Employee Database'!$A$3:$A$202,0))/52,IF(H200="Fortnightly",INDEX('Employee Database'!$J$3:$J$202,MATCH(E200,'Employee Database'!$A$3:$A$202,0))/26,IF(H200="Four-weekly",INDEX('Employee Database'!$J$3:$J$202,MATCH(E200,'Employee Database'!$A$3:$A$202,0))/13,0))))),0)</f>
        <v/>
      </c>
      <c r="J200" s="45" t="n"/>
      <c r="K200" s="45" t="n"/>
      <c r="L200" s="44">
        <f>SUM(I200:K200)</f>
        <v/>
      </c>
      <c r="M200" s="45" t="n"/>
      <c r="N200" s="45" t="n"/>
      <c r="O200" s="44">
        <f>IFERROR(ROUND(L200*INDEX('Employee Database'!$L$3:$L$202,MATCH(E200,'Employee Database'!$A$3:$A$202,0))/100,2),0)</f>
        <v/>
      </c>
      <c r="P200" s="45" t="n"/>
      <c r="Q200" s="44">
        <f>SUM(M200:P200)</f>
        <v/>
      </c>
      <c r="R200" s="44">
        <f>L200-Q200</f>
        <v/>
      </c>
      <c r="S200" s="45" t="n"/>
      <c r="T200" s="44">
        <f>IFERROR(ROUND(L200*INDEX('Employee Database'!$M$3:$M$202,MATCH(E200,'Employee Database'!$A$3:$A$202,0))/100,2),0)</f>
        <v/>
      </c>
      <c r="U200" s="44">
        <f>SUM(L200,S200,T200)</f>
        <v/>
      </c>
      <c r="V200" s="46">
        <f>IF(E200="","",IF(OR(B200="",C200="",D200=""),"Missing period/date",IF(L200&lt;0,"Check gross pay",IF(R200&lt;0,"Deductions exceed gross","Review statutory amounts"))))</f>
        <v/>
      </c>
      <c r="W200" s="42" t="n"/>
      <c r="X200" s="47" t="n"/>
    </row>
    <row r="201">
      <c r="A201" s="42" t="n"/>
      <c r="B201" s="39" t="n"/>
      <c r="C201" s="39" t="n"/>
      <c r="D201" s="39" t="n"/>
      <c r="E201" s="42" t="n"/>
      <c r="F201" s="43">
        <f>IFERROR(INDEX('Employee Database'!$B$3:$B$202,MATCH(E201,'Employee Database'!$A$3:$A$202,0)),"")</f>
        <v/>
      </c>
      <c r="G201" s="43">
        <f>IFERROR(INDEX('Employee Database'!$F$3:$F$202,MATCH(E201,'Employee Database'!$A$3:$A$202,0)),"")</f>
        <v/>
      </c>
      <c r="H201" s="43">
        <f>IFERROR(INDEX('Employee Database'!$I$3:$I$202,MATCH(E201,'Employee Database'!$A$3:$A$202,0)),"")</f>
        <v/>
      </c>
      <c r="I201" s="44">
        <f>IFERROR(IF(H201="Monthly",INDEX('Employee Database'!$J$3:$J$202,MATCH(E201,'Employee Database'!$A$3:$A$202,0))/12,IF(H201="Weekly",INDEX('Employee Database'!$J$3:$J$202,MATCH(E201,'Employee Database'!$A$3:$A$202,0))/52,IF(H201="Fortnightly",INDEX('Employee Database'!$J$3:$J$202,MATCH(E201,'Employee Database'!$A$3:$A$202,0))/26,IF(H201="Four-weekly",INDEX('Employee Database'!$J$3:$J$202,MATCH(E201,'Employee Database'!$A$3:$A$202,0))/13,0))))),0)</f>
        <v/>
      </c>
      <c r="J201" s="45" t="n"/>
      <c r="K201" s="45" t="n"/>
      <c r="L201" s="44">
        <f>SUM(I201:K201)</f>
        <v/>
      </c>
      <c r="M201" s="45" t="n"/>
      <c r="N201" s="45" t="n"/>
      <c r="O201" s="44">
        <f>IFERROR(ROUND(L201*INDEX('Employee Database'!$L$3:$L$202,MATCH(E201,'Employee Database'!$A$3:$A$202,0))/100,2),0)</f>
        <v/>
      </c>
      <c r="P201" s="45" t="n"/>
      <c r="Q201" s="44">
        <f>SUM(M201:P201)</f>
        <v/>
      </c>
      <c r="R201" s="44">
        <f>L201-Q201</f>
        <v/>
      </c>
      <c r="S201" s="45" t="n"/>
      <c r="T201" s="44">
        <f>IFERROR(ROUND(L201*INDEX('Employee Database'!$M$3:$M$202,MATCH(E201,'Employee Database'!$A$3:$A$202,0))/100,2),0)</f>
        <v/>
      </c>
      <c r="U201" s="44">
        <f>SUM(L201,S201,T201)</f>
        <v/>
      </c>
      <c r="V201" s="46">
        <f>IF(E201="","",IF(OR(B201="",C201="",D201=""),"Missing period/date",IF(L201&lt;0,"Check gross pay",IF(R201&lt;0,"Deductions exceed gross","Review statutory amounts"))))</f>
        <v/>
      </c>
      <c r="W201" s="42" t="n"/>
      <c r="X201" s="47" t="n"/>
    </row>
    <row r="202">
      <c r="A202" s="42" t="n"/>
      <c r="B202" s="39" t="n"/>
      <c r="C202" s="39" t="n"/>
      <c r="D202" s="39" t="n"/>
      <c r="E202" s="42" t="n"/>
      <c r="F202" s="43">
        <f>IFERROR(INDEX('Employee Database'!$B$3:$B$202,MATCH(E202,'Employee Database'!$A$3:$A$202,0)),"")</f>
        <v/>
      </c>
      <c r="G202" s="43">
        <f>IFERROR(INDEX('Employee Database'!$F$3:$F$202,MATCH(E202,'Employee Database'!$A$3:$A$202,0)),"")</f>
        <v/>
      </c>
      <c r="H202" s="43">
        <f>IFERROR(INDEX('Employee Database'!$I$3:$I$202,MATCH(E202,'Employee Database'!$A$3:$A$202,0)),"")</f>
        <v/>
      </c>
      <c r="I202" s="44">
        <f>IFERROR(IF(H202="Monthly",INDEX('Employee Database'!$J$3:$J$202,MATCH(E202,'Employee Database'!$A$3:$A$202,0))/12,IF(H202="Weekly",INDEX('Employee Database'!$J$3:$J$202,MATCH(E202,'Employee Database'!$A$3:$A$202,0))/52,IF(H202="Fortnightly",INDEX('Employee Database'!$J$3:$J$202,MATCH(E202,'Employee Database'!$A$3:$A$202,0))/26,IF(H202="Four-weekly",INDEX('Employee Database'!$J$3:$J$202,MATCH(E202,'Employee Database'!$A$3:$A$202,0))/13,0))))),0)</f>
        <v/>
      </c>
      <c r="J202" s="45" t="n"/>
      <c r="K202" s="45" t="n"/>
      <c r="L202" s="44">
        <f>SUM(I202:K202)</f>
        <v/>
      </c>
      <c r="M202" s="45" t="n"/>
      <c r="N202" s="45" t="n"/>
      <c r="O202" s="44">
        <f>IFERROR(ROUND(L202*INDEX('Employee Database'!$L$3:$L$202,MATCH(E202,'Employee Database'!$A$3:$A$202,0))/100,2),0)</f>
        <v/>
      </c>
      <c r="P202" s="45" t="n"/>
      <c r="Q202" s="44">
        <f>SUM(M202:P202)</f>
        <v/>
      </c>
      <c r="R202" s="44">
        <f>L202-Q202</f>
        <v/>
      </c>
      <c r="S202" s="45" t="n"/>
      <c r="T202" s="44">
        <f>IFERROR(ROUND(L202*INDEX('Employee Database'!$M$3:$M$202,MATCH(E202,'Employee Database'!$A$3:$A$202,0))/100,2),0)</f>
        <v/>
      </c>
      <c r="U202" s="44">
        <f>SUM(L202,S202,T202)</f>
        <v/>
      </c>
      <c r="V202" s="46">
        <f>IF(E202="","",IF(OR(B202="",C202="",D202=""),"Missing period/date",IF(L202&lt;0,"Check gross pay",IF(R202&lt;0,"Deductions exceed gross","Review statutory amounts"))))</f>
        <v/>
      </c>
      <c r="W202" s="42" t="n"/>
      <c r="X202" s="47" t="n"/>
    </row>
    <row r="204">
      <c r="A204" s="2" t="inlineStr">
        <is>
          <t>Blue cells are inputs; green cells are formulas. PAYE/NI and statutory adjustments must be verified before approval/payment.</t>
        </is>
      </c>
    </row>
  </sheetData>
  <mergeCells count="2">
    <mergeCell ref="A204:X204"/>
    <mergeCell ref="A1:X1"/>
  </mergeCells>
  <dataValidations count="2">
    <dataValidation sqref="W3:W202" showDropDown="0" showInputMessage="0" showErrorMessage="0" allowBlank="1" type="list">
      <formula1>"Pending,Approved,Paid,On Hold"</formula1>
    </dataValidation>
    <dataValidation sqref="J3:J202 K3:K202 M3:M202 N3:N202 P3:P202 S3:S202" showDropDown="0" showInputMessage="0" showErrorMessage="0" allowBlank="1" type="decimal" operator="greaterThanOrEqual">
      <formula1>0</formula1>
    </dataValidation>
  </dataValidations>
  <pageMargins left="0.3" right="0.3" top="0.5" bottom="0.5" header="0.5" footer="0.5"/>
  <pageSetup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17365D"/>
    <outlinePr summaryBelow="1" summaryRight="1"/>
    <pageSetUpPr fitToPage="1"/>
  </sheetPr>
  <dimension ref="A1:D28"/>
  <sheetViews>
    <sheetView showGridLines="0" zoomScale="9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5" customWidth="1" min="3" max="3"/>
    <col width="68" customWidth="1" min="4" max="4"/>
  </cols>
  <sheetData>
    <row r="1" ht="30" customHeight="1">
      <c r="A1" s="1" t="inlineStr">
        <is>
          <t>AVERRA STAFFING SOLUTIONS LTD | PAYROLL CALCULATOR</t>
        </is>
      </c>
    </row>
    <row r="2">
      <c r="A2" s="2" t="inlineStr">
        <is>
          <t>Monthly payroll worksheet • Enter values in blue cells; formulas calculate totals.</t>
        </is>
      </c>
    </row>
    <row r="3">
      <c r="A3" s="3" t="inlineStr">
        <is>
          <t>Employee &amp; Pay Details</t>
        </is>
      </c>
    </row>
    <row r="4">
      <c r="A4" s="4" t="inlineStr">
        <is>
          <t>Employee name</t>
        </is>
      </c>
      <c r="B4" s="23" t="inlineStr">
        <is>
          <t>Sandra Stasaityte</t>
        </is>
      </c>
      <c r="D4" s="6" t="inlineStr">
        <is>
          <t>Enter employee's full name</t>
        </is>
      </c>
    </row>
    <row r="5">
      <c r="A5" s="4" t="inlineStr">
        <is>
          <t>Employee / payroll number</t>
        </is>
      </c>
      <c r="B5" s="23" t="inlineStr"/>
      <c r="D5" s="6" t="inlineStr">
        <is>
          <t>Optional internal reference</t>
        </is>
      </c>
    </row>
    <row r="6">
      <c r="A6" s="4" t="inlineStr">
        <is>
          <t>Job title</t>
        </is>
      </c>
      <c r="B6" s="23" t="inlineStr">
        <is>
          <t>Director</t>
        </is>
      </c>
      <c r="D6" s="6" t="inlineStr"/>
    </row>
    <row r="7">
      <c r="A7" s="4" t="inlineStr">
        <is>
          <t>Pay frequency</t>
        </is>
      </c>
      <c r="B7" s="23" t="inlineStr">
        <is>
          <t>Monthly</t>
        </is>
      </c>
      <c r="D7" s="6" t="inlineStr">
        <is>
          <t>Use monthly values in this worksheet</t>
        </is>
      </c>
    </row>
    <row r="8">
      <c r="A8" s="4" t="inlineStr">
        <is>
          <t>Tax period / month</t>
        </is>
      </c>
      <c r="B8" s="23" t="inlineStr"/>
      <c r="D8" s="6" t="inlineStr">
        <is>
          <t>e.g. October 2026</t>
        </is>
      </c>
    </row>
    <row r="9">
      <c r="A9" s="4" t="inlineStr">
        <is>
          <t>Payment date</t>
        </is>
      </c>
      <c r="B9" s="23" t="inlineStr"/>
      <c r="D9" s="6" t="inlineStr"/>
    </row>
    <row r="10">
      <c r="A10" s="4" t="inlineStr">
        <is>
          <t>Tax code</t>
        </is>
      </c>
      <c r="B10" s="23" t="inlineStr"/>
      <c r="D10" s="6" t="inlineStr">
        <is>
          <t>Enter code from HMRC</t>
        </is>
      </c>
    </row>
    <row r="11">
      <c r="A11" s="4" t="inlineStr">
        <is>
          <t>NI category</t>
        </is>
      </c>
      <c r="B11" s="23" t="inlineStr">
        <is>
          <t>A</t>
        </is>
      </c>
      <c r="D11" s="6" t="inlineStr">
        <is>
          <t>Confirm employee's applicable category</t>
        </is>
      </c>
    </row>
    <row r="12">
      <c r="A12" s="4" t="inlineStr">
        <is>
          <t>Annual salary (£)</t>
        </is>
      </c>
      <c r="B12" s="23" t="n">
        <v>26137</v>
      </c>
      <c r="D12" s="6" t="inlineStr">
        <is>
          <t>Annual contractual salary, if applicable</t>
        </is>
      </c>
    </row>
    <row r="13">
      <c r="A13" s="4" t="inlineStr">
        <is>
          <t>Basic gross pay (£)</t>
        </is>
      </c>
      <c r="B13" s="24">
        <f>IF(B12&gt;0,B12/12,0)</f>
        <v/>
      </c>
      <c r="D13" s="6" t="inlineStr">
        <is>
          <t>Calculated as annual salary ÷ 12; overwrite only if needed</t>
        </is>
      </c>
    </row>
    <row r="14">
      <c r="A14" s="4" t="inlineStr">
        <is>
          <t>Overtime / bonus (£)</t>
        </is>
      </c>
      <c r="B14" s="23" t="n">
        <v>0</v>
      </c>
      <c r="D14" s="6" t="inlineStr"/>
    </row>
    <row r="15">
      <c r="A15" s="4" t="inlineStr">
        <is>
          <t>Holiday / other pay (£)</t>
        </is>
      </c>
      <c r="B15" s="23" t="n">
        <v>0</v>
      </c>
      <c r="D15" s="6" t="inlineStr"/>
    </row>
    <row r="16">
      <c r="A16" s="8" t="inlineStr">
        <is>
          <t>Total gross pay (£)</t>
        </is>
      </c>
      <c r="B16" s="25">
        <f>SUM(B13:B15)</f>
        <v/>
      </c>
      <c r="D16" s="6" t="inlineStr">
        <is>
          <t>Formula</t>
        </is>
      </c>
    </row>
    <row r="17">
      <c r="A17" s="8" t="inlineStr">
        <is>
          <t>PAYE income tax (£)</t>
        </is>
      </c>
      <c r="B17" s="23" t="n">
        <v>0</v>
      </c>
      <c r="D17" s="6" t="inlineStr">
        <is>
          <t>Enter verified PAYE from HMRC-compatible payroll software</t>
        </is>
      </c>
    </row>
    <row r="18">
      <c r="A18" s="4" t="inlineStr">
        <is>
          <t>Employee National Insurance (£)</t>
        </is>
      </c>
      <c r="B18" s="23" t="n">
        <v>0</v>
      </c>
      <c r="D18" s="6" t="inlineStr">
        <is>
          <t>Enter verified employee NI from HMRC-compatible payroll software</t>
        </is>
      </c>
    </row>
    <row r="19">
      <c r="A19" s="4" t="inlineStr">
        <is>
          <t>Employee pension (£)</t>
        </is>
      </c>
      <c r="B19" s="24">
        <f>ROUND(B16*B26/100,2)</f>
        <v/>
      </c>
      <c r="D19" s="6" t="inlineStr">
        <is>
          <t>Formula: total gross pay × employee pension rate</t>
        </is>
      </c>
    </row>
    <row r="20">
      <c r="A20" s="4" t="inlineStr">
        <is>
          <t>Other deductions (£)</t>
        </is>
      </c>
      <c r="B20" s="23" t="n">
        <v>0</v>
      </c>
      <c r="D20" s="6" t="inlineStr">
        <is>
          <t>e.g. insurance or authorised deductions</t>
        </is>
      </c>
    </row>
    <row r="21">
      <c r="A21" s="8" t="inlineStr">
        <is>
          <t>Total deductions (£)</t>
        </is>
      </c>
      <c r="B21" s="25">
        <f>SUM(B17:B20)</f>
        <v/>
      </c>
      <c r="D21" s="6" t="inlineStr">
        <is>
          <t>Formula</t>
        </is>
      </c>
    </row>
    <row r="22">
      <c r="A22" s="10" t="inlineStr">
        <is>
          <t>NET PAY (£)</t>
        </is>
      </c>
      <c r="B22" s="25">
        <f>B16-B21</f>
        <v/>
      </c>
      <c r="D22" s="6" t="inlineStr">
        <is>
          <t>Gross pay less total deductions</t>
        </is>
      </c>
    </row>
    <row r="23">
      <c r="A23" s="10" t="inlineStr">
        <is>
          <t>Employer National Insurance (£)</t>
        </is>
      </c>
      <c r="B23" s="23" t="n">
        <v>0</v>
      </c>
      <c r="D23" s="6" t="inlineStr">
        <is>
          <t>Enter verified employer NI from HMRC-compatible payroll software</t>
        </is>
      </c>
    </row>
    <row r="24">
      <c r="A24" s="4" t="inlineStr">
        <is>
          <t>Employer pension contribution (£)</t>
        </is>
      </c>
      <c r="B24" s="24">
        <f>ROUND(B16*B27/100,2)</f>
        <v/>
      </c>
      <c r="D24" s="6" t="inlineStr">
        <is>
          <t>Formula: total gross pay × employer pension rate</t>
        </is>
      </c>
    </row>
    <row r="25">
      <c r="A25" s="8" t="inlineStr">
        <is>
          <t>TOTAL EMPLOYER COST (£)</t>
        </is>
      </c>
      <c r="B25" s="25">
        <f>B16+B23+B24</f>
        <v/>
      </c>
      <c r="D25" s="6" t="inlineStr">
        <is>
          <t>Gross pay plus employer costs</t>
        </is>
      </c>
    </row>
    <row r="26">
      <c r="A26" s="8" t="inlineStr">
        <is>
          <t>Employee pension rate (%)</t>
        </is>
      </c>
      <c r="B26" s="26" t="n">
        <v>0</v>
      </c>
      <c r="D26" s="6" t="inlineStr">
        <is>
          <t>Enter percentage; employee pension is calculated from total gross pay</t>
        </is>
      </c>
    </row>
    <row r="27">
      <c r="A27" s="8" t="inlineStr">
        <is>
          <t>Employer pension rate (%)</t>
        </is>
      </c>
      <c r="B27" s="26" t="n">
        <v>0</v>
      </c>
      <c r="D27" s="6" t="inlineStr">
        <is>
          <t>Enter percentage; employer pension is calculated from total gross pay</t>
        </is>
      </c>
    </row>
    <row r="28" ht="30" customHeight="1">
      <c r="A28" t="inlineStr">
        <is>
          <t>Payroll check</t>
        </is>
      </c>
      <c r="B28" s="27">
        <f>IF(B4="","Enter employee name",IF(B8="","Enter pay period",IF(B16&lt;0,"Check gross pay",IF(B21&gt;B16,"Deductions exceed gross pay","Ready for review"))))</f>
        <v/>
      </c>
      <c r="D28" t="inlineStr">
        <is>
          <t>Review statutory deductions and eligibility before payment</t>
        </is>
      </c>
    </row>
  </sheetData>
  <autoFilter ref="A3:D27"/>
  <mergeCells count="3">
    <mergeCell ref="A1:D1"/>
    <mergeCell ref="A3:D3"/>
    <mergeCell ref="A2:D2"/>
  </mergeCells>
  <dataValidations count="4">
    <dataValidation sqref="B26 B27" showDropDown="0" showInputMessage="0" showErrorMessage="0" allowBlank="0" errorTitle="Invalid percentage" error="Enter a percentage from 0 to 100." promptTitle="Pension rate" prompt="Enter the applicable pension percentage." type="decimal" operator="between">
      <formula1>0</formula1>
      <formula2>100</formula2>
    </dataValidation>
    <dataValidation sqref="B12 B14 B15 B17 B18 B20 B23" showDropDown="0" showInputMessage="0" showErrorMessage="0" allowBlank="1" errorTitle="Invalid amount" error="Enter zero or a positive amount." type="decimal" operator="greaterThanOrEqual">
      <formula1>0</formula1>
    </dataValidation>
    <dataValidation sqref="B7" showDropDown="0" showInputMessage="0" showErrorMessage="0" allowBlank="0" type="list">
      <formula1>"Monthly,Weekly,Fortnightly,Four-weekly"</formula1>
    </dataValidation>
    <dataValidation sqref="B11" showDropDown="0" showInputMessage="0" showErrorMessage="0" allowBlank="1" type="list">
      <formula1>"A,B,C,D,E,F,H,I,J,L,M,S,V"</formula1>
    </dataValidation>
  </dataValidations>
  <pageMargins left="0.3" right="0.3" top="0.5" bottom="0.5" header="0.5" footer="0.5"/>
  <pageSetup orientation="portrait" fitToHeight="1" fitToWidth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17365D"/>
    <outlinePr summaryBelow="1" summaryRight="1"/>
    <pageSetUpPr fitToPage="1"/>
  </sheetPr>
  <dimension ref="A1:D23"/>
  <sheetViews>
    <sheetView showGridLines="0" zoomScale="95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30" customWidth="1" min="3" max="3"/>
    <col width="22" customWidth="1" min="4" max="4"/>
  </cols>
  <sheetData>
    <row r="1" ht="30" customHeight="1">
      <c r="A1" s="1" t="inlineStr">
        <is>
          <t>AVERRA STAFFING SOLUTIONS LTD</t>
        </is>
      </c>
    </row>
    <row r="2">
      <c r="A2" s="12" t="inlineStr">
        <is>
          <t>PAYSLIP</t>
        </is>
      </c>
    </row>
    <row r="4">
      <c r="A4" s="13" t="inlineStr">
        <is>
          <t>Employee</t>
        </is>
      </c>
      <c r="B4">
        <f>'Payroll Calculator'!B4</f>
        <v/>
      </c>
      <c r="C4" s="13" t="inlineStr">
        <is>
          <t>Pay period</t>
        </is>
      </c>
      <c r="D4">
        <f>'Payroll Calculator'!B8</f>
        <v/>
      </c>
    </row>
    <row r="5">
      <c r="A5" s="13" t="inlineStr">
        <is>
          <t>Payroll number</t>
        </is>
      </c>
      <c r="B5">
        <f>'Payroll Calculator'!B5</f>
        <v/>
      </c>
      <c r="C5" s="13" t="inlineStr">
        <is>
          <t>Payment date</t>
        </is>
      </c>
      <c r="D5">
        <f>'Payroll Calculator'!B9</f>
        <v/>
      </c>
    </row>
    <row r="6">
      <c r="A6" s="13" t="inlineStr">
        <is>
          <t>Job title</t>
        </is>
      </c>
      <c r="B6">
        <f>'Payroll Calculator'!B6</f>
        <v/>
      </c>
      <c r="C6" s="13" t="inlineStr">
        <is>
          <t>Tax code</t>
        </is>
      </c>
      <c r="D6">
        <f>'Payroll Calculator'!B10</f>
        <v/>
      </c>
    </row>
    <row r="7">
      <c r="A7" s="13" t="inlineStr">
        <is>
          <t>Pay frequency</t>
        </is>
      </c>
      <c r="B7">
        <f>'Payroll Calculator'!B7</f>
        <v/>
      </c>
      <c r="C7" s="13" t="inlineStr">
        <is>
          <t>NI category</t>
        </is>
      </c>
      <c r="D7">
        <f>'Payroll Calculator'!B11</f>
        <v/>
      </c>
    </row>
    <row r="10">
      <c r="A10" s="3" t="inlineStr">
        <is>
          <t>PAYMENTS</t>
        </is>
      </c>
      <c r="C10" s="3" t="inlineStr">
        <is>
          <t>DEDUCTIONS</t>
        </is>
      </c>
    </row>
    <row r="11">
      <c r="A11" s="4" t="inlineStr">
        <is>
          <t>Basic gross pay</t>
        </is>
      </c>
      <c r="B11" s="14">
        <f>'Payroll Calculator'!B13</f>
        <v/>
      </c>
      <c r="C11" s="4" t="inlineStr">
        <is>
          <t>PAYE income tax</t>
        </is>
      </c>
      <c r="D11" s="14">
        <f>'Payroll Calculator'!B17</f>
        <v/>
      </c>
    </row>
    <row r="12">
      <c r="A12" s="4" t="inlineStr">
        <is>
          <t>Overtime / bonus</t>
        </is>
      </c>
      <c r="B12" s="14">
        <f>'Payroll Calculator'!B14</f>
        <v/>
      </c>
      <c r="C12" s="4" t="inlineStr">
        <is>
          <t>Employee National Insurance</t>
        </is>
      </c>
      <c r="D12" s="14">
        <f>'Payroll Calculator'!B18</f>
        <v/>
      </c>
    </row>
    <row r="13">
      <c r="A13" s="4" t="inlineStr">
        <is>
          <t>Holiday / other pay</t>
        </is>
      </c>
      <c r="B13" s="14">
        <f>'Payroll Calculator'!B15</f>
        <v/>
      </c>
      <c r="C13" s="4" t="inlineStr">
        <is>
          <t>Employee pension</t>
        </is>
      </c>
      <c r="D13" s="14">
        <f>'Payroll Calculator'!B19</f>
        <v/>
      </c>
    </row>
    <row r="14">
      <c r="A14" s="15" t="inlineStr">
        <is>
          <t>TOTAL GROSS PAY</t>
        </is>
      </c>
      <c r="B14" s="9">
        <f>'Payroll Calculator'!B16</f>
        <v/>
      </c>
      <c r="C14" s="15" t="inlineStr">
        <is>
          <t>Other deductions</t>
        </is>
      </c>
      <c r="D14" s="9">
        <f>'Payroll Calculator'!B20</f>
        <v/>
      </c>
    </row>
    <row r="15">
      <c r="A15" s="15" t="n"/>
      <c r="B15" s="9" t="n"/>
      <c r="C15" s="15" t="inlineStr">
        <is>
          <t>TOTAL DEDUCTIONS</t>
        </is>
      </c>
      <c r="D15" s="9">
        <f>'Payroll Calculator'!B21</f>
        <v/>
      </c>
    </row>
    <row r="17">
      <c r="A17" s="16" t="inlineStr">
        <is>
          <t>NET PAY</t>
        </is>
      </c>
    </row>
    <row r="18">
      <c r="A18" s="17">
        <f>'Payroll Calculator'!B22</f>
        <v/>
      </c>
    </row>
    <row r="20">
      <c r="A20" s="13" t="inlineStr">
        <is>
          <t>Employer contributions (informational — not deducted from net pay)</t>
        </is>
      </c>
    </row>
    <row r="21">
      <c r="A21" t="inlineStr">
        <is>
          <t>Employer National Insurance</t>
        </is>
      </c>
      <c r="B21" s="18">
        <f>'Payroll Calculator'!B23</f>
        <v/>
      </c>
      <c r="C21" t="inlineStr">
        <is>
          <t>Employer pension</t>
        </is>
      </c>
      <c r="D21" s="18">
        <f>'Payroll Calculator'!B24</f>
        <v/>
      </c>
    </row>
    <row r="22">
      <c r="A22" s="28" t="inlineStr">
        <is>
          <t>Employee / employer pension rates</t>
        </is>
      </c>
      <c r="B22" s="29">
        <f>'Payroll Calculator'!B26</f>
        <v/>
      </c>
      <c r="C22" s="28" t="inlineStr">
        <is>
          <t>Employer rate</t>
        </is>
      </c>
      <c r="D22" s="29">
        <f>'Payroll Calculator'!B27</f>
        <v/>
      </c>
    </row>
    <row r="23" ht="30" customHeight="1">
      <c r="A23" s="19" t="inlineStr">
        <is>
          <t>This payslip is a calculation template, not an HMRC payroll submission or confirmation of statutory compliance.</t>
        </is>
      </c>
    </row>
  </sheetData>
  <mergeCells count="6">
    <mergeCell ref="A1:D1"/>
    <mergeCell ref="A17:D17"/>
    <mergeCell ref="A18:D18"/>
    <mergeCell ref="A23:D23"/>
    <mergeCell ref="A20:D20"/>
    <mergeCell ref="A2:D2"/>
  </mergeCells>
  <pageMargins left="0.3" right="0.3" top="0.5" bottom="0.5" header="0.2" footer="0.2"/>
  <pageSetup orientation="portrait" paperSize="9" fitToHeight="1" fitToWidth="1"/>
</worksheet>
</file>

<file path=xl/worksheets/sheet6.xml><?xml version="1.0" encoding="utf-8"?>
<worksheet xmlns="http://schemas.openxmlformats.org/spreadsheetml/2006/main">
  <sheetPr>
    <tabColor rgb="0017365D"/>
    <outlinePr summaryBelow="1" summaryRight="1"/>
    <pageSetUpPr fitToPage="1"/>
  </sheetPr>
  <dimension ref="A1:B20"/>
  <sheetViews>
    <sheetView showGridLines="0" zoomScale="95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10" customWidth="1" min="2" max="2"/>
  </cols>
  <sheetData>
    <row r="1" ht="30" customHeight="1">
      <c r="A1" s="1" t="inlineStr">
        <is>
          <t>HOW TO USE THIS TEMPLATE</t>
        </is>
      </c>
    </row>
    <row r="3" ht="36" customHeight="1">
      <c r="A3" s="20" t="inlineStr"/>
      <c r="B3" s="21" t="inlineStr">
        <is>
          <t>1</t>
        </is>
      </c>
    </row>
    <row r="4" ht="36" customHeight="1">
      <c r="A4" s="20" t="inlineStr"/>
      <c r="B4" s="21" t="inlineStr">
        <is>
          <t>Enter employee details and pay-period information in the blue cells on Payroll Calculator.</t>
        </is>
      </c>
    </row>
    <row r="5" ht="36" customHeight="1">
      <c r="A5" s="20" t="inlineStr"/>
      <c r="B5" s="21" t="inlineStr">
        <is>
          <t>2</t>
        </is>
      </c>
    </row>
    <row r="6" ht="36" customHeight="1">
      <c r="A6" s="20" t="inlineStr"/>
      <c r="B6" s="21" t="inlineStr">
        <is>
          <t>Enter annual salary. Basic gross pay is calculated as annual salary divided by 12. Adjust basic gross pay if the employee's actual period pay differs.</t>
        </is>
      </c>
    </row>
    <row r="7" ht="36" customHeight="1">
      <c r="A7" s="20" t="inlineStr"/>
      <c r="B7" s="21" t="inlineStr">
        <is>
          <t>3</t>
        </is>
      </c>
    </row>
    <row r="8" ht="36" customHeight="1">
      <c r="A8" s="20" t="inlineStr"/>
      <c r="B8" s="21" t="inlineStr">
        <is>
          <t>Enter overtime, bonus, holiday pay or other gross earnings as relevant.</t>
        </is>
      </c>
    </row>
    <row r="9" ht="36" customHeight="1">
      <c r="A9" s="20" t="inlineStr"/>
      <c r="B9" s="21" t="inlineStr">
        <is>
          <t>4</t>
        </is>
      </c>
    </row>
    <row r="10" ht="36" customHeight="1">
      <c r="A10" s="20" t="inlineStr">
        <is>
          <t>Enter verified PAYE income tax, employee NI and employer NI from current HMRC-compatible payroll software. These statutory calculations remain manual in this template.</t>
        </is>
      </c>
      <c r="B10" s="21" t="inlineStr">
        <is>
          <t>Enter PAYE income tax, employee National Insurance and pension deductions using verified payroll calculations for the correct tax year and pay frequency.</t>
        </is>
      </c>
    </row>
    <row r="11" ht="58" customHeight="1">
      <c r="A11" s="20" t="inlineStr"/>
      <c r="B11" s="21" t="inlineStr">
        <is>
          <t>5</t>
        </is>
      </c>
    </row>
    <row r="12" ht="58" customHeight="1">
      <c r="A12" s="20" t="inlineStr">
        <is>
          <t>Enter employee and employer pension percentages in Payroll Calculator rows 26–27. Pension amounts calculate automatically as a simple percentage of total gross pay; check scheme pensionable-pay and tax-relief rules.</t>
        </is>
      </c>
      <c r="B12" s="21" t="inlineStr">
        <is>
          <t>Enter other authorised deductions, if any. Net pay is calculated automatically as gross pay less employee deductions.</t>
        </is>
      </c>
    </row>
    <row r="13" ht="36" customHeight="1">
      <c r="A13" s="20" t="inlineStr"/>
      <c r="B13" s="21" t="inlineStr">
        <is>
          <t>6</t>
        </is>
      </c>
    </row>
    <row r="14" ht="36" customHeight="1">
      <c r="A14" s="20" t="inlineStr"/>
      <c r="B14" s="21" t="inlineStr">
        <is>
          <t>Enter employer National Insurance and employer pension separately. These are employer costs and are not subtracted from employee net pay.</t>
        </is>
      </c>
    </row>
    <row r="15" ht="36" customHeight="1">
      <c r="A15" s="20" t="inlineStr"/>
      <c r="B15" s="21" t="inlineStr">
        <is>
          <t>7</t>
        </is>
      </c>
    </row>
    <row r="16" ht="36" customHeight="1">
      <c r="A16" s="20" t="inlineStr">
        <is>
          <t>Open the Payslip tab to view a linked summary. Save a separate copy for each employee and pay period; do not overwrite the only payroll record.</t>
        </is>
      </c>
      <c r="B16" s="21" t="inlineStr">
        <is>
          <t>Open the Payslip tab to view a print-friendly summary linked to the calculator. Update the calculator for each pay period and save a separate copy for each employee/month.</t>
        </is>
      </c>
    </row>
    <row r="17" ht="36" customHeight="1">
      <c r="A17" s="20" t="inlineStr"/>
      <c r="B17" s="21" t="inlineStr">
        <is>
          <t>IMPORTANT</t>
        </is>
      </c>
    </row>
    <row r="18" ht="36" customHeight="1">
      <c r="A18" s="20" t="inlineStr">
        <is>
          <t>IMPORTANT: This workbook automates gross pay, pension estimates, deductions, net pay and employer cost arithmetic. It does NOT calculate statutory PAYE, National Insurance, student loans, statutory pay, tax-code/cumulative adjustments, pension qualifying earnings or RTI. Verify statutory amounts with current HMRC guidance or compliant payroll software before paying staff or filing RTI.</t>
        </is>
      </c>
      <c r="B18" s="21" t="inlineStr">
        <is>
          <t>This workbook does not calculate statutory PAYE, National Insurance thresholds, student-loan deductions, statutory pay, pension tax relief or tax-code adjustments. Verify these using current HMRC guidance or compliant payroll software before paying staff or filing RTI.</t>
        </is>
      </c>
    </row>
    <row r="19" ht="36" customHeight="1">
      <c r="A19" s="20" t="inlineStr"/>
      <c r="B19" s="21" t="inlineStr">
        <is>
          <t>PRIVACY</t>
        </is>
      </c>
    </row>
    <row r="20" ht="32" customHeight="1">
      <c r="A20" s="48" t="inlineStr">
        <is>
          <t>Expanded workbook tabs: Employee Database, Monthly Payroll, Timesheets, Pension Tracker, Leave Tracker, Payment Tracker, Payroll Dashboard, Audit Log and Settings.</t>
        </is>
      </c>
      <c r="B20" s="21" t="inlineStr">
        <is>
          <t>Payroll data is confidential. Store the workbook securely, restrict access and avoid sending unprotected copies by email.</t>
        </is>
      </c>
    </row>
  </sheetData>
  <mergeCells count="1">
    <mergeCell ref="A1:B1"/>
  </mergeCells>
  <pageMargins left="0.3" right="0.3" top="0.5" bottom="0.5" header="0.5" footer="0.5"/>
  <pageSetup orientation="portrait" fitToHeight="1" fitToWidth="1"/>
</worksheet>
</file>

<file path=xl/worksheets/sheet7.xml><?xml version="1.0" encoding="utf-8"?>
<worksheet xmlns="http://schemas.openxmlformats.org/spreadsheetml/2006/main">
  <sheetPr>
    <tabColor rgb="0017365D"/>
    <outlinePr summaryBelow="1" summaryRight="1"/>
    <pageSetUpPr fitToPage="1"/>
  </sheetPr>
  <dimension ref="A1:O202"/>
  <sheetViews>
    <sheetView showGridLines="0" zoomScale="85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24" customWidth="1" min="3" max="3"/>
    <col width="19" customWidth="1" min="4" max="4"/>
    <col width="19" customWidth="1" min="5" max="5"/>
    <col width="15" customWidth="1" min="6" max="6"/>
    <col width="15" customWidth="1" min="7" max="7"/>
    <col width="18" customWidth="1" min="8" max="8"/>
    <col width="18" customWidth="1" min="9" max="9"/>
    <col width="18" customWidth="1" min="10" max="10"/>
    <col width="15" customWidth="1" min="11" max="11"/>
    <col width="20" customWidth="1" min="12" max="12"/>
    <col width="18" customWidth="1" min="13" max="13"/>
    <col width="22" customWidth="1" min="14" max="14"/>
    <col width="30" customWidth="1" min="15" max="15"/>
  </cols>
  <sheetData>
    <row r="1">
      <c r="A1" s="37" t="inlineStr">
        <is>
          <t>AVERRA — TIMESHEETS</t>
        </is>
      </c>
    </row>
    <row r="2" ht="32" customHeight="1">
      <c r="A2" s="33" t="inlineStr">
        <is>
          <t>Timesheet ID</t>
        </is>
      </c>
      <c r="B2" s="33" t="inlineStr">
        <is>
          <t>Employee ID</t>
        </is>
      </c>
      <c r="C2" s="33" t="inlineStr">
        <is>
          <t>Employee Name</t>
        </is>
      </c>
      <c r="D2" s="33" t="inlineStr">
        <is>
          <t>Week / Period Start</t>
        </is>
      </c>
      <c r="E2" s="33" t="inlineStr">
        <is>
          <t>Week / Period End</t>
        </is>
      </c>
      <c r="F2" s="33" t="inlineStr">
        <is>
          <t>Regular Hours</t>
        </is>
      </c>
      <c r="G2" s="33" t="inlineStr">
        <is>
          <t>Overtime Hours</t>
        </is>
      </c>
      <c r="H2" s="33" t="inlineStr">
        <is>
          <t>Hourly Rate (GBP)</t>
        </is>
      </c>
      <c r="I2" s="33" t="inlineStr">
        <is>
          <t>Regular Pay (GBP)</t>
        </is>
      </c>
      <c r="J2" s="33" t="inlineStr">
        <is>
          <t>Overtime Pay (GBP)</t>
        </is>
      </c>
      <c r="K2" s="33" t="inlineStr">
        <is>
          <t>Total Hours</t>
        </is>
      </c>
      <c r="L2" s="33" t="inlineStr">
        <is>
          <t>Total Earnings (GBP)</t>
        </is>
      </c>
      <c r="M2" s="33" t="inlineStr">
        <is>
          <t>Approval Status</t>
        </is>
      </c>
      <c r="N2" s="33" t="inlineStr">
        <is>
          <t>Approved By</t>
        </is>
      </c>
      <c r="O2" s="33" t="inlineStr">
        <is>
          <t>Notes</t>
        </is>
      </c>
    </row>
    <row r="3">
      <c r="A3" s="49" t="n"/>
      <c r="B3" s="49" t="n"/>
      <c r="C3" s="36">
        <f>IFERROR(INDEX('Employee Database'!$B$3:$B$202,MATCH(B3,'Employee Database'!$A$3:$A$202,0)),"")</f>
        <v/>
      </c>
      <c r="D3" s="50" t="n"/>
      <c r="E3" s="50" t="n"/>
      <c r="F3" s="49" t="n"/>
      <c r="G3" s="49" t="n"/>
      <c r="H3" s="32">
        <f>IFERROR(INDEX('Employee Database'!$K$3:$K$202,MATCH(B3,'Employee Database'!$A$3:$A$202,0)),0)</f>
        <v/>
      </c>
      <c r="I3" s="32">
        <f>ROUND(F3*H3,2)</f>
        <v/>
      </c>
      <c r="J3" s="32">
        <f>ROUND(G3*H3*1.5,2)</f>
        <v/>
      </c>
      <c r="K3" s="36">
        <f>SUM(F3:G3)</f>
        <v/>
      </c>
      <c r="L3" s="32">
        <f>SUM(I3:J3)</f>
        <v/>
      </c>
      <c r="M3" s="49" t="n"/>
      <c r="N3" s="49" t="n"/>
      <c r="O3" s="49" t="n"/>
    </row>
    <row r="4">
      <c r="A4" s="49" t="n"/>
      <c r="B4" s="49" t="n"/>
      <c r="C4" s="36">
        <f>IFERROR(INDEX('Employee Database'!$B$3:$B$202,MATCH(B4,'Employee Database'!$A$3:$A$202,0)),"")</f>
        <v/>
      </c>
      <c r="D4" s="50" t="n"/>
      <c r="E4" s="50" t="n"/>
      <c r="F4" s="49" t="n"/>
      <c r="G4" s="49" t="n"/>
      <c r="H4" s="32">
        <f>IFERROR(INDEX('Employee Database'!$K$3:$K$202,MATCH(B4,'Employee Database'!$A$3:$A$202,0)),0)</f>
        <v/>
      </c>
      <c r="I4" s="32">
        <f>ROUND(F4*H4,2)</f>
        <v/>
      </c>
      <c r="J4" s="32">
        <f>ROUND(G4*H4*1.5,2)</f>
        <v/>
      </c>
      <c r="K4" s="36">
        <f>SUM(F4:G4)</f>
        <v/>
      </c>
      <c r="L4" s="32">
        <f>SUM(I4:J4)</f>
        <v/>
      </c>
      <c r="M4" s="49" t="n"/>
      <c r="N4" s="49" t="n"/>
      <c r="O4" s="49" t="n"/>
    </row>
    <row r="5">
      <c r="A5" s="49" t="n"/>
      <c r="B5" s="49" t="n"/>
      <c r="C5" s="36">
        <f>IFERROR(INDEX('Employee Database'!$B$3:$B$202,MATCH(B5,'Employee Database'!$A$3:$A$202,0)),"")</f>
        <v/>
      </c>
      <c r="D5" s="50" t="n"/>
      <c r="E5" s="50" t="n"/>
      <c r="F5" s="49" t="n"/>
      <c r="G5" s="49" t="n"/>
      <c r="H5" s="32">
        <f>IFERROR(INDEX('Employee Database'!$K$3:$K$202,MATCH(B5,'Employee Database'!$A$3:$A$202,0)),0)</f>
        <v/>
      </c>
      <c r="I5" s="32">
        <f>ROUND(F5*H5,2)</f>
        <v/>
      </c>
      <c r="J5" s="32">
        <f>ROUND(G5*H5*1.5,2)</f>
        <v/>
      </c>
      <c r="K5" s="36">
        <f>SUM(F5:G5)</f>
        <v/>
      </c>
      <c r="L5" s="32">
        <f>SUM(I5:J5)</f>
        <v/>
      </c>
      <c r="M5" s="49" t="n"/>
      <c r="N5" s="49" t="n"/>
      <c r="O5" s="49" t="n"/>
    </row>
    <row r="6">
      <c r="A6" s="49" t="n"/>
      <c r="B6" s="49" t="n"/>
      <c r="C6" s="36">
        <f>IFERROR(INDEX('Employee Database'!$B$3:$B$202,MATCH(B6,'Employee Database'!$A$3:$A$202,0)),"")</f>
        <v/>
      </c>
      <c r="D6" s="50" t="n"/>
      <c r="E6" s="50" t="n"/>
      <c r="F6" s="49" t="n"/>
      <c r="G6" s="49" t="n"/>
      <c r="H6" s="32">
        <f>IFERROR(INDEX('Employee Database'!$K$3:$K$202,MATCH(B6,'Employee Database'!$A$3:$A$202,0)),0)</f>
        <v/>
      </c>
      <c r="I6" s="32">
        <f>ROUND(F6*H6,2)</f>
        <v/>
      </c>
      <c r="J6" s="32">
        <f>ROUND(G6*H6*1.5,2)</f>
        <v/>
      </c>
      <c r="K6" s="36">
        <f>SUM(F6:G6)</f>
        <v/>
      </c>
      <c r="L6" s="32">
        <f>SUM(I6:J6)</f>
        <v/>
      </c>
      <c r="M6" s="49" t="n"/>
      <c r="N6" s="49" t="n"/>
      <c r="O6" s="49" t="n"/>
    </row>
    <row r="7">
      <c r="A7" s="49" t="n"/>
      <c r="B7" s="49" t="n"/>
      <c r="C7" s="36">
        <f>IFERROR(INDEX('Employee Database'!$B$3:$B$202,MATCH(B7,'Employee Database'!$A$3:$A$202,0)),"")</f>
        <v/>
      </c>
      <c r="D7" s="50" t="n"/>
      <c r="E7" s="50" t="n"/>
      <c r="F7" s="49" t="n"/>
      <c r="G7" s="49" t="n"/>
      <c r="H7" s="32">
        <f>IFERROR(INDEX('Employee Database'!$K$3:$K$202,MATCH(B7,'Employee Database'!$A$3:$A$202,0)),0)</f>
        <v/>
      </c>
      <c r="I7" s="32">
        <f>ROUND(F7*H7,2)</f>
        <v/>
      </c>
      <c r="J7" s="32">
        <f>ROUND(G7*H7*1.5,2)</f>
        <v/>
      </c>
      <c r="K7" s="36">
        <f>SUM(F7:G7)</f>
        <v/>
      </c>
      <c r="L7" s="32">
        <f>SUM(I7:J7)</f>
        <v/>
      </c>
      <c r="M7" s="49" t="n"/>
      <c r="N7" s="49" t="n"/>
      <c r="O7" s="49" t="n"/>
    </row>
    <row r="8">
      <c r="A8" s="49" t="n"/>
      <c r="B8" s="49" t="n"/>
      <c r="C8" s="36">
        <f>IFERROR(INDEX('Employee Database'!$B$3:$B$202,MATCH(B8,'Employee Database'!$A$3:$A$202,0)),"")</f>
        <v/>
      </c>
      <c r="D8" s="50" t="n"/>
      <c r="E8" s="50" t="n"/>
      <c r="F8" s="49" t="n"/>
      <c r="G8" s="49" t="n"/>
      <c r="H8" s="32">
        <f>IFERROR(INDEX('Employee Database'!$K$3:$K$202,MATCH(B8,'Employee Database'!$A$3:$A$202,0)),0)</f>
        <v/>
      </c>
      <c r="I8" s="32">
        <f>ROUND(F8*H8,2)</f>
        <v/>
      </c>
      <c r="J8" s="32">
        <f>ROUND(G8*H8*1.5,2)</f>
        <v/>
      </c>
      <c r="K8" s="36">
        <f>SUM(F8:G8)</f>
        <v/>
      </c>
      <c r="L8" s="32">
        <f>SUM(I8:J8)</f>
        <v/>
      </c>
      <c r="M8" s="49" t="n"/>
      <c r="N8" s="49" t="n"/>
      <c r="O8" s="49" t="n"/>
    </row>
    <row r="9">
      <c r="A9" s="49" t="n"/>
      <c r="B9" s="49" t="n"/>
      <c r="C9" s="36">
        <f>IFERROR(INDEX('Employee Database'!$B$3:$B$202,MATCH(B9,'Employee Database'!$A$3:$A$202,0)),"")</f>
        <v/>
      </c>
      <c r="D9" s="50" t="n"/>
      <c r="E9" s="50" t="n"/>
      <c r="F9" s="49" t="n"/>
      <c r="G9" s="49" t="n"/>
      <c r="H9" s="32">
        <f>IFERROR(INDEX('Employee Database'!$K$3:$K$202,MATCH(B9,'Employee Database'!$A$3:$A$202,0)),0)</f>
        <v/>
      </c>
      <c r="I9" s="32">
        <f>ROUND(F9*H9,2)</f>
        <v/>
      </c>
      <c r="J9" s="32">
        <f>ROUND(G9*H9*1.5,2)</f>
        <v/>
      </c>
      <c r="K9" s="36">
        <f>SUM(F9:G9)</f>
        <v/>
      </c>
      <c r="L9" s="32">
        <f>SUM(I9:J9)</f>
        <v/>
      </c>
      <c r="M9" s="49" t="n"/>
      <c r="N9" s="49" t="n"/>
      <c r="O9" s="49" t="n"/>
    </row>
    <row r="10">
      <c r="A10" s="49" t="n"/>
      <c r="B10" s="49" t="n"/>
      <c r="C10" s="36">
        <f>IFERROR(INDEX('Employee Database'!$B$3:$B$202,MATCH(B10,'Employee Database'!$A$3:$A$202,0)),"")</f>
        <v/>
      </c>
      <c r="D10" s="50" t="n"/>
      <c r="E10" s="50" t="n"/>
      <c r="F10" s="49" t="n"/>
      <c r="G10" s="49" t="n"/>
      <c r="H10" s="32">
        <f>IFERROR(INDEX('Employee Database'!$K$3:$K$202,MATCH(B10,'Employee Database'!$A$3:$A$202,0)),0)</f>
        <v/>
      </c>
      <c r="I10" s="32">
        <f>ROUND(F10*H10,2)</f>
        <v/>
      </c>
      <c r="J10" s="32">
        <f>ROUND(G10*H10*1.5,2)</f>
        <v/>
      </c>
      <c r="K10" s="36">
        <f>SUM(F10:G10)</f>
        <v/>
      </c>
      <c r="L10" s="32">
        <f>SUM(I10:J10)</f>
        <v/>
      </c>
      <c r="M10" s="49" t="n"/>
      <c r="N10" s="49" t="n"/>
      <c r="O10" s="49" t="n"/>
    </row>
    <row r="11">
      <c r="A11" s="49" t="n"/>
      <c r="B11" s="49" t="n"/>
      <c r="C11" s="36">
        <f>IFERROR(INDEX('Employee Database'!$B$3:$B$202,MATCH(B11,'Employee Database'!$A$3:$A$202,0)),"")</f>
        <v/>
      </c>
      <c r="D11" s="50" t="n"/>
      <c r="E11" s="50" t="n"/>
      <c r="F11" s="49" t="n"/>
      <c r="G11" s="49" t="n"/>
      <c r="H11" s="32">
        <f>IFERROR(INDEX('Employee Database'!$K$3:$K$202,MATCH(B11,'Employee Database'!$A$3:$A$202,0)),0)</f>
        <v/>
      </c>
      <c r="I11" s="32">
        <f>ROUND(F11*H11,2)</f>
        <v/>
      </c>
      <c r="J11" s="32">
        <f>ROUND(G11*H11*1.5,2)</f>
        <v/>
      </c>
      <c r="K11" s="36">
        <f>SUM(F11:G11)</f>
        <v/>
      </c>
      <c r="L11" s="32">
        <f>SUM(I11:J11)</f>
        <v/>
      </c>
      <c r="M11" s="49" t="n"/>
      <c r="N11" s="49" t="n"/>
      <c r="O11" s="49" t="n"/>
    </row>
    <row r="12">
      <c r="A12" s="49" t="n"/>
      <c r="B12" s="49" t="n"/>
      <c r="C12" s="36">
        <f>IFERROR(INDEX('Employee Database'!$B$3:$B$202,MATCH(B12,'Employee Database'!$A$3:$A$202,0)),"")</f>
        <v/>
      </c>
      <c r="D12" s="50" t="n"/>
      <c r="E12" s="50" t="n"/>
      <c r="F12" s="49" t="n"/>
      <c r="G12" s="49" t="n"/>
      <c r="H12" s="32">
        <f>IFERROR(INDEX('Employee Database'!$K$3:$K$202,MATCH(B12,'Employee Database'!$A$3:$A$202,0)),0)</f>
        <v/>
      </c>
      <c r="I12" s="32">
        <f>ROUND(F12*H12,2)</f>
        <v/>
      </c>
      <c r="J12" s="32">
        <f>ROUND(G12*H12*1.5,2)</f>
        <v/>
      </c>
      <c r="K12" s="36">
        <f>SUM(F12:G12)</f>
        <v/>
      </c>
      <c r="L12" s="32">
        <f>SUM(I12:J12)</f>
        <v/>
      </c>
      <c r="M12" s="49" t="n"/>
      <c r="N12" s="49" t="n"/>
      <c r="O12" s="49" t="n"/>
    </row>
    <row r="13">
      <c r="A13" s="49" t="n"/>
      <c r="B13" s="49" t="n"/>
      <c r="C13" s="36">
        <f>IFERROR(INDEX('Employee Database'!$B$3:$B$202,MATCH(B13,'Employee Database'!$A$3:$A$202,0)),"")</f>
        <v/>
      </c>
      <c r="D13" s="50" t="n"/>
      <c r="E13" s="50" t="n"/>
      <c r="F13" s="49" t="n"/>
      <c r="G13" s="49" t="n"/>
      <c r="H13" s="32">
        <f>IFERROR(INDEX('Employee Database'!$K$3:$K$202,MATCH(B13,'Employee Database'!$A$3:$A$202,0)),0)</f>
        <v/>
      </c>
      <c r="I13" s="32">
        <f>ROUND(F13*H13,2)</f>
        <v/>
      </c>
      <c r="J13" s="32">
        <f>ROUND(G13*H13*1.5,2)</f>
        <v/>
      </c>
      <c r="K13" s="36">
        <f>SUM(F13:G13)</f>
        <v/>
      </c>
      <c r="L13" s="32">
        <f>SUM(I13:J13)</f>
        <v/>
      </c>
      <c r="M13" s="49" t="n"/>
      <c r="N13" s="49" t="n"/>
      <c r="O13" s="49" t="n"/>
    </row>
    <row r="14">
      <c r="A14" s="49" t="n"/>
      <c r="B14" s="49" t="n"/>
      <c r="C14" s="36">
        <f>IFERROR(INDEX('Employee Database'!$B$3:$B$202,MATCH(B14,'Employee Database'!$A$3:$A$202,0)),"")</f>
        <v/>
      </c>
      <c r="D14" s="50" t="n"/>
      <c r="E14" s="50" t="n"/>
      <c r="F14" s="49" t="n"/>
      <c r="G14" s="49" t="n"/>
      <c r="H14" s="32">
        <f>IFERROR(INDEX('Employee Database'!$K$3:$K$202,MATCH(B14,'Employee Database'!$A$3:$A$202,0)),0)</f>
        <v/>
      </c>
      <c r="I14" s="32">
        <f>ROUND(F14*H14,2)</f>
        <v/>
      </c>
      <c r="J14" s="32">
        <f>ROUND(G14*H14*1.5,2)</f>
        <v/>
      </c>
      <c r="K14" s="36">
        <f>SUM(F14:G14)</f>
        <v/>
      </c>
      <c r="L14" s="32">
        <f>SUM(I14:J14)</f>
        <v/>
      </c>
      <c r="M14" s="49" t="n"/>
      <c r="N14" s="49" t="n"/>
      <c r="O14" s="49" t="n"/>
    </row>
    <row r="15">
      <c r="A15" s="49" t="n"/>
      <c r="B15" s="49" t="n"/>
      <c r="C15" s="36">
        <f>IFERROR(INDEX('Employee Database'!$B$3:$B$202,MATCH(B15,'Employee Database'!$A$3:$A$202,0)),"")</f>
        <v/>
      </c>
      <c r="D15" s="50" t="n"/>
      <c r="E15" s="50" t="n"/>
      <c r="F15" s="49" t="n"/>
      <c r="G15" s="49" t="n"/>
      <c r="H15" s="32">
        <f>IFERROR(INDEX('Employee Database'!$K$3:$K$202,MATCH(B15,'Employee Database'!$A$3:$A$202,0)),0)</f>
        <v/>
      </c>
      <c r="I15" s="32">
        <f>ROUND(F15*H15,2)</f>
        <v/>
      </c>
      <c r="J15" s="32">
        <f>ROUND(G15*H15*1.5,2)</f>
        <v/>
      </c>
      <c r="K15" s="36">
        <f>SUM(F15:G15)</f>
        <v/>
      </c>
      <c r="L15" s="32">
        <f>SUM(I15:J15)</f>
        <v/>
      </c>
      <c r="M15" s="49" t="n"/>
      <c r="N15" s="49" t="n"/>
      <c r="O15" s="49" t="n"/>
    </row>
    <row r="16">
      <c r="A16" s="49" t="n"/>
      <c r="B16" s="49" t="n"/>
      <c r="C16" s="36">
        <f>IFERROR(INDEX('Employee Database'!$B$3:$B$202,MATCH(B16,'Employee Database'!$A$3:$A$202,0)),"")</f>
        <v/>
      </c>
      <c r="D16" s="50" t="n"/>
      <c r="E16" s="50" t="n"/>
      <c r="F16" s="49" t="n"/>
      <c r="G16" s="49" t="n"/>
      <c r="H16" s="32">
        <f>IFERROR(INDEX('Employee Database'!$K$3:$K$202,MATCH(B16,'Employee Database'!$A$3:$A$202,0)),0)</f>
        <v/>
      </c>
      <c r="I16" s="32">
        <f>ROUND(F16*H16,2)</f>
        <v/>
      </c>
      <c r="J16" s="32">
        <f>ROUND(G16*H16*1.5,2)</f>
        <v/>
      </c>
      <c r="K16" s="36">
        <f>SUM(F16:G16)</f>
        <v/>
      </c>
      <c r="L16" s="32">
        <f>SUM(I16:J16)</f>
        <v/>
      </c>
      <c r="M16" s="49" t="n"/>
      <c r="N16" s="49" t="n"/>
      <c r="O16" s="49" t="n"/>
    </row>
    <row r="17">
      <c r="A17" s="49" t="n"/>
      <c r="B17" s="49" t="n"/>
      <c r="C17" s="36">
        <f>IFERROR(INDEX('Employee Database'!$B$3:$B$202,MATCH(B17,'Employee Database'!$A$3:$A$202,0)),"")</f>
        <v/>
      </c>
      <c r="D17" s="50" t="n"/>
      <c r="E17" s="50" t="n"/>
      <c r="F17" s="49" t="n"/>
      <c r="G17" s="49" t="n"/>
      <c r="H17" s="32">
        <f>IFERROR(INDEX('Employee Database'!$K$3:$K$202,MATCH(B17,'Employee Database'!$A$3:$A$202,0)),0)</f>
        <v/>
      </c>
      <c r="I17" s="32">
        <f>ROUND(F17*H17,2)</f>
        <v/>
      </c>
      <c r="J17" s="32">
        <f>ROUND(G17*H17*1.5,2)</f>
        <v/>
      </c>
      <c r="K17" s="36">
        <f>SUM(F17:G17)</f>
        <v/>
      </c>
      <c r="L17" s="32">
        <f>SUM(I17:J17)</f>
        <v/>
      </c>
      <c r="M17" s="49" t="n"/>
      <c r="N17" s="49" t="n"/>
      <c r="O17" s="49" t="n"/>
    </row>
    <row r="18">
      <c r="A18" s="49" t="n"/>
      <c r="B18" s="49" t="n"/>
      <c r="C18" s="36">
        <f>IFERROR(INDEX('Employee Database'!$B$3:$B$202,MATCH(B18,'Employee Database'!$A$3:$A$202,0)),"")</f>
        <v/>
      </c>
      <c r="D18" s="50" t="n"/>
      <c r="E18" s="50" t="n"/>
      <c r="F18" s="49" t="n"/>
      <c r="G18" s="49" t="n"/>
      <c r="H18" s="32">
        <f>IFERROR(INDEX('Employee Database'!$K$3:$K$202,MATCH(B18,'Employee Database'!$A$3:$A$202,0)),0)</f>
        <v/>
      </c>
      <c r="I18" s="32">
        <f>ROUND(F18*H18,2)</f>
        <v/>
      </c>
      <c r="J18" s="32">
        <f>ROUND(G18*H18*1.5,2)</f>
        <v/>
      </c>
      <c r="K18" s="36">
        <f>SUM(F18:G18)</f>
        <v/>
      </c>
      <c r="L18" s="32">
        <f>SUM(I18:J18)</f>
        <v/>
      </c>
      <c r="M18" s="49" t="n"/>
      <c r="N18" s="49" t="n"/>
      <c r="O18" s="49" t="n"/>
    </row>
    <row r="19">
      <c r="A19" s="49" t="n"/>
      <c r="B19" s="49" t="n"/>
      <c r="C19" s="36">
        <f>IFERROR(INDEX('Employee Database'!$B$3:$B$202,MATCH(B19,'Employee Database'!$A$3:$A$202,0)),"")</f>
        <v/>
      </c>
      <c r="D19" s="50" t="n"/>
      <c r="E19" s="50" t="n"/>
      <c r="F19" s="49" t="n"/>
      <c r="G19" s="49" t="n"/>
      <c r="H19" s="32">
        <f>IFERROR(INDEX('Employee Database'!$K$3:$K$202,MATCH(B19,'Employee Database'!$A$3:$A$202,0)),0)</f>
        <v/>
      </c>
      <c r="I19" s="32">
        <f>ROUND(F19*H19,2)</f>
        <v/>
      </c>
      <c r="J19" s="32">
        <f>ROUND(G19*H19*1.5,2)</f>
        <v/>
      </c>
      <c r="K19" s="36">
        <f>SUM(F19:G19)</f>
        <v/>
      </c>
      <c r="L19" s="32">
        <f>SUM(I19:J19)</f>
        <v/>
      </c>
      <c r="M19" s="49" t="n"/>
      <c r="N19" s="49" t="n"/>
      <c r="O19" s="49" t="n"/>
    </row>
    <row r="20">
      <c r="A20" s="49" t="n"/>
      <c r="B20" s="49" t="n"/>
      <c r="C20" s="36">
        <f>IFERROR(INDEX('Employee Database'!$B$3:$B$202,MATCH(B20,'Employee Database'!$A$3:$A$202,0)),"")</f>
        <v/>
      </c>
      <c r="D20" s="50" t="n"/>
      <c r="E20" s="50" t="n"/>
      <c r="F20" s="49" t="n"/>
      <c r="G20" s="49" t="n"/>
      <c r="H20" s="32">
        <f>IFERROR(INDEX('Employee Database'!$K$3:$K$202,MATCH(B20,'Employee Database'!$A$3:$A$202,0)),0)</f>
        <v/>
      </c>
      <c r="I20" s="32">
        <f>ROUND(F20*H20,2)</f>
        <v/>
      </c>
      <c r="J20" s="32">
        <f>ROUND(G20*H20*1.5,2)</f>
        <v/>
      </c>
      <c r="K20" s="36">
        <f>SUM(F20:G20)</f>
        <v/>
      </c>
      <c r="L20" s="32">
        <f>SUM(I20:J20)</f>
        <v/>
      </c>
      <c r="M20" s="49" t="n"/>
      <c r="N20" s="49" t="n"/>
      <c r="O20" s="49" t="n"/>
    </row>
    <row r="21">
      <c r="A21" s="49" t="n"/>
      <c r="B21" s="49" t="n"/>
      <c r="C21" s="36">
        <f>IFERROR(INDEX('Employee Database'!$B$3:$B$202,MATCH(B21,'Employee Database'!$A$3:$A$202,0)),"")</f>
        <v/>
      </c>
      <c r="D21" s="50" t="n"/>
      <c r="E21" s="50" t="n"/>
      <c r="F21" s="49" t="n"/>
      <c r="G21" s="49" t="n"/>
      <c r="H21" s="32">
        <f>IFERROR(INDEX('Employee Database'!$K$3:$K$202,MATCH(B21,'Employee Database'!$A$3:$A$202,0)),0)</f>
        <v/>
      </c>
      <c r="I21" s="32">
        <f>ROUND(F21*H21,2)</f>
        <v/>
      </c>
      <c r="J21" s="32">
        <f>ROUND(G21*H21*1.5,2)</f>
        <v/>
      </c>
      <c r="K21" s="36">
        <f>SUM(F21:G21)</f>
        <v/>
      </c>
      <c r="L21" s="32">
        <f>SUM(I21:J21)</f>
        <v/>
      </c>
      <c r="M21" s="49" t="n"/>
      <c r="N21" s="49" t="n"/>
      <c r="O21" s="49" t="n"/>
    </row>
    <row r="22">
      <c r="A22" s="49" t="n"/>
      <c r="B22" s="49" t="n"/>
      <c r="C22" s="36">
        <f>IFERROR(INDEX('Employee Database'!$B$3:$B$202,MATCH(B22,'Employee Database'!$A$3:$A$202,0)),"")</f>
        <v/>
      </c>
      <c r="D22" s="50" t="n"/>
      <c r="E22" s="50" t="n"/>
      <c r="F22" s="49" t="n"/>
      <c r="G22" s="49" t="n"/>
      <c r="H22" s="32">
        <f>IFERROR(INDEX('Employee Database'!$K$3:$K$202,MATCH(B22,'Employee Database'!$A$3:$A$202,0)),0)</f>
        <v/>
      </c>
      <c r="I22" s="32">
        <f>ROUND(F22*H22,2)</f>
        <v/>
      </c>
      <c r="J22" s="32">
        <f>ROUND(G22*H22*1.5,2)</f>
        <v/>
      </c>
      <c r="K22" s="36">
        <f>SUM(F22:G22)</f>
        <v/>
      </c>
      <c r="L22" s="32">
        <f>SUM(I22:J22)</f>
        <v/>
      </c>
      <c r="M22" s="49" t="n"/>
      <c r="N22" s="49" t="n"/>
      <c r="O22" s="49" t="n"/>
    </row>
    <row r="23">
      <c r="A23" s="49" t="n"/>
      <c r="B23" s="49" t="n"/>
      <c r="C23" s="36">
        <f>IFERROR(INDEX('Employee Database'!$B$3:$B$202,MATCH(B23,'Employee Database'!$A$3:$A$202,0)),"")</f>
        <v/>
      </c>
      <c r="D23" s="50" t="n"/>
      <c r="E23" s="50" t="n"/>
      <c r="F23" s="49" t="n"/>
      <c r="G23" s="49" t="n"/>
      <c r="H23" s="32">
        <f>IFERROR(INDEX('Employee Database'!$K$3:$K$202,MATCH(B23,'Employee Database'!$A$3:$A$202,0)),0)</f>
        <v/>
      </c>
      <c r="I23" s="32">
        <f>ROUND(F23*H23,2)</f>
        <v/>
      </c>
      <c r="J23" s="32">
        <f>ROUND(G23*H23*1.5,2)</f>
        <v/>
      </c>
      <c r="K23" s="36">
        <f>SUM(F23:G23)</f>
        <v/>
      </c>
      <c r="L23" s="32">
        <f>SUM(I23:J23)</f>
        <v/>
      </c>
      <c r="M23" s="49" t="n"/>
      <c r="N23" s="49" t="n"/>
      <c r="O23" s="49" t="n"/>
    </row>
    <row r="24">
      <c r="A24" s="49" t="n"/>
      <c r="B24" s="49" t="n"/>
      <c r="C24" s="36">
        <f>IFERROR(INDEX('Employee Database'!$B$3:$B$202,MATCH(B24,'Employee Database'!$A$3:$A$202,0)),"")</f>
        <v/>
      </c>
      <c r="D24" s="50" t="n"/>
      <c r="E24" s="50" t="n"/>
      <c r="F24" s="49" t="n"/>
      <c r="G24" s="49" t="n"/>
      <c r="H24" s="32">
        <f>IFERROR(INDEX('Employee Database'!$K$3:$K$202,MATCH(B24,'Employee Database'!$A$3:$A$202,0)),0)</f>
        <v/>
      </c>
      <c r="I24" s="32">
        <f>ROUND(F24*H24,2)</f>
        <v/>
      </c>
      <c r="J24" s="32">
        <f>ROUND(G24*H24*1.5,2)</f>
        <v/>
      </c>
      <c r="K24" s="36">
        <f>SUM(F24:G24)</f>
        <v/>
      </c>
      <c r="L24" s="32">
        <f>SUM(I24:J24)</f>
        <v/>
      </c>
      <c r="M24" s="49" t="n"/>
      <c r="N24" s="49" t="n"/>
      <c r="O24" s="49" t="n"/>
    </row>
    <row r="25">
      <c r="A25" s="49" t="n"/>
      <c r="B25" s="49" t="n"/>
      <c r="C25" s="36">
        <f>IFERROR(INDEX('Employee Database'!$B$3:$B$202,MATCH(B25,'Employee Database'!$A$3:$A$202,0)),"")</f>
        <v/>
      </c>
      <c r="D25" s="50" t="n"/>
      <c r="E25" s="50" t="n"/>
      <c r="F25" s="49" t="n"/>
      <c r="G25" s="49" t="n"/>
      <c r="H25" s="32">
        <f>IFERROR(INDEX('Employee Database'!$K$3:$K$202,MATCH(B25,'Employee Database'!$A$3:$A$202,0)),0)</f>
        <v/>
      </c>
      <c r="I25" s="32">
        <f>ROUND(F25*H25,2)</f>
        <v/>
      </c>
      <c r="J25" s="32">
        <f>ROUND(G25*H25*1.5,2)</f>
        <v/>
      </c>
      <c r="K25" s="36">
        <f>SUM(F25:G25)</f>
        <v/>
      </c>
      <c r="L25" s="32">
        <f>SUM(I25:J25)</f>
        <v/>
      </c>
      <c r="M25" s="49" t="n"/>
      <c r="N25" s="49" t="n"/>
      <c r="O25" s="49" t="n"/>
    </row>
    <row r="26">
      <c r="A26" s="49" t="n"/>
      <c r="B26" s="49" t="n"/>
      <c r="C26" s="36">
        <f>IFERROR(INDEX('Employee Database'!$B$3:$B$202,MATCH(B26,'Employee Database'!$A$3:$A$202,0)),"")</f>
        <v/>
      </c>
      <c r="D26" s="50" t="n"/>
      <c r="E26" s="50" t="n"/>
      <c r="F26" s="49" t="n"/>
      <c r="G26" s="49" t="n"/>
      <c r="H26" s="32">
        <f>IFERROR(INDEX('Employee Database'!$K$3:$K$202,MATCH(B26,'Employee Database'!$A$3:$A$202,0)),0)</f>
        <v/>
      </c>
      <c r="I26" s="32">
        <f>ROUND(F26*H26,2)</f>
        <v/>
      </c>
      <c r="J26" s="32">
        <f>ROUND(G26*H26*1.5,2)</f>
        <v/>
      </c>
      <c r="K26" s="36">
        <f>SUM(F26:G26)</f>
        <v/>
      </c>
      <c r="L26" s="32">
        <f>SUM(I26:J26)</f>
        <v/>
      </c>
      <c r="M26" s="49" t="n"/>
      <c r="N26" s="49" t="n"/>
      <c r="O26" s="49" t="n"/>
    </row>
    <row r="27">
      <c r="A27" s="49" t="n"/>
      <c r="B27" s="49" t="n"/>
      <c r="C27" s="36">
        <f>IFERROR(INDEX('Employee Database'!$B$3:$B$202,MATCH(B27,'Employee Database'!$A$3:$A$202,0)),"")</f>
        <v/>
      </c>
      <c r="D27" s="50" t="n"/>
      <c r="E27" s="50" t="n"/>
      <c r="F27" s="49" t="n"/>
      <c r="G27" s="49" t="n"/>
      <c r="H27" s="32">
        <f>IFERROR(INDEX('Employee Database'!$K$3:$K$202,MATCH(B27,'Employee Database'!$A$3:$A$202,0)),0)</f>
        <v/>
      </c>
      <c r="I27" s="32">
        <f>ROUND(F27*H27,2)</f>
        <v/>
      </c>
      <c r="J27" s="32">
        <f>ROUND(G27*H27*1.5,2)</f>
        <v/>
      </c>
      <c r="K27" s="36">
        <f>SUM(F27:G27)</f>
        <v/>
      </c>
      <c r="L27" s="32">
        <f>SUM(I27:J27)</f>
        <v/>
      </c>
      <c r="M27" s="49" t="n"/>
      <c r="N27" s="49" t="n"/>
      <c r="O27" s="49" t="n"/>
    </row>
    <row r="28">
      <c r="A28" s="49" t="n"/>
      <c r="B28" s="49" t="n"/>
      <c r="C28" s="36">
        <f>IFERROR(INDEX('Employee Database'!$B$3:$B$202,MATCH(B28,'Employee Database'!$A$3:$A$202,0)),"")</f>
        <v/>
      </c>
      <c r="D28" s="50" t="n"/>
      <c r="E28" s="50" t="n"/>
      <c r="F28" s="49" t="n"/>
      <c r="G28" s="49" t="n"/>
      <c r="H28" s="32">
        <f>IFERROR(INDEX('Employee Database'!$K$3:$K$202,MATCH(B28,'Employee Database'!$A$3:$A$202,0)),0)</f>
        <v/>
      </c>
      <c r="I28" s="32">
        <f>ROUND(F28*H28,2)</f>
        <v/>
      </c>
      <c r="J28" s="32">
        <f>ROUND(G28*H28*1.5,2)</f>
        <v/>
      </c>
      <c r="K28" s="36">
        <f>SUM(F28:G28)</f>
        <v/>
      </c>
      <c r="L28" s="32">
        <f>SUM(I28:J28)</f>
        <v/>
      </c>
      <c r="M28" s="49" t="n"/>
      <c r="N28" s="49" t="n"/>
      <c r="O28" s="49" t="n"/>
    </row>
    <row r="29">
      <c r="A29" s="49" t="n"/>
      <c r="B29" s="49" t="n"/>
      <c r="C29" s="36">
        <f>IFERROR(INDEX('Employee Database'!$B$3:$B$202,MATCH(B29,'Employee Database'!$A$3:$A$202,0)),"")</f>
        <v/>
      </c>
      <c r="D29" s="50" t="n"/>
      <c r="E29" s="50" t="n"/>
      <c r="F29" s="49" t="n"/>
      <c r="G29" s="49" t="n"/>
      <c r="H29" s="32">
        <f>IFERROR(INDEX('Employee Database'!$K$3:$K$202,MATCH(B29,'Employee Database'!$A$3:$A$202,0)),0)</f>
        <v/>
      </c>
      <c r="I29" s="32">
        <f>ROUND(F29*H29,2)</f>
        <v/>
      </c>
      <c r="J29" s="32">
        <f>ROUND(G29*H29*1.5,2)</f>
        <v/>
      </c>
      <c r="K29" s="36">
        <f>SUM(F29:G29)</f>
        <v/>
      </c>
      <c r="L29" s="32">
        <f>SUM(I29:J29)</f>
        <v/>
      </c>
      <c r="M29" s="49" t="n"/>
      <c r="N29" s="49" t="n"/>
      <c r="O29" s="49" t="n"/>
    </row>
    <row r="30">
      <c r="A30" s="49" t="n"/>
      <c r="B30" s="49" t="n"/>
      <c r="C30" s="36">
        <f>IFERROR(INDEX('Employee Database'!$B$3:$B$202,MATCH(B30,'Employee Database'!$A$3:$A$202,0)),"")</f>
        <v/>
      </c>
      <c r="D30" s="50" t="n"/>
      <c r="E30" s="50" t="n"/>
      <c r="F30" s="49" t="n"/>
      <c r="G30" s="49" t="n"/>
      <c r="H30" s="32">
        <f>IFERROR(INDEX('Employee Database'!$K$3:$K$202,MATCH(B30,'Employee Database'!$A$3:$A$202,0)),0)</f>
        <v/>
      </c>
      <c r="I30" s="32">
        <f>ROUND(F30*H30,2)</f>
        <v/>
      </c>
      <c r="J30" s="32">
        <f>ROUND(G30*H30*1.5,2)</f>
        <v/>
      </c>
      <c r="K30" s="36">
        <f>SUM(F30:G30)</f>
        <v/>
      </c>
      <c r="L30" s="32">
        <f>SUM(I30:J30)</f>
        <v/>
      </c>
      <c r="M30" s="49" t="n"/>
      <c r="N30" s="49" t="n"/>
      <c r="O30" s="49" t="n"/>
    </row>
    <row r="31">
      <c r="A31" s="49" t="n"/>
      <c r="B31" s="49" t="n"/>
      <c r="C31" s="36">
        <f>IFERROR(INDEX('Employee Database'!$B$3:$B$202,MATCH(B31,'Employee Database'!$A$3:$A$202,0)),"")</f>
        <v/>
      </c>
      <c r="D31" s="50" t="n"/>
      <c r="E31" s="50" t="n"/>
      <c r="F31" s="49" t="n"/>
      <c r="G31" s="49" t="n"/>
      <c r="H31" s="32">
        <f>IFERROR(INDEX('Employee Database'!$K$3:$K$202,MATCH(B31,'Employee Database'!$A$3:$A$202,0)),0)</f>
        <v/>
      </c>
      <c r="I31" s="32">
        <f>ROUND(F31*H31,2)</f>
        <v/>
      </c>
      <c r="J31" s="32">
        <f>ROUND(G31*H31*1.5,2)</f>
        <v/>
      </c>
      <c r="K31" s="36">
        <f>SUM(F31:G31)</f>
        <v/>
      </c>
      <c r="L31" s="32">
        <f>SUM(I31:J31)</f>
        <v/>
      </c>
      <c r="M31" s="49" t="n"/>
      <c r="N31" s="49" t="n"/>
      <c r="O31" s="49" t="n"/>
    </row>
    <row r="32">
      <c r="A32" s="49" t="n"/>
      <c r="B32" s="49" t="n"/>
      <c r="C32" s="36">
        <f>IFERROR(INDEX('Employee Database'!$B$3:$B$202,MATCH(B32,'Employee Database'!$A$3:$A$202,0)),"")</f>
        <v/>
      </c>
      <c r="D32" s="50" t="n"/>
      <c r="E32" s="50" t="n"/>
      <c r="F32" s="49" t="n"/>
      <c r="G32" s="49" t="n"/>
      <c r="H32" s="32">
        <f>IFERROR(INDEX('Employee Database'!$K$3:$K$202,MATCH(B32,'Employee Database'!$A$3:$A$202,0)),0)</f>
        <v/>
      </c>
      <c r="I32" s="32">
        <f>ROUND(F32*H32,2)</f>
        <v/>
      </c>
      <c r="J32" s="32">
        <f>ROUND(G32*H32*1.5,2)</f>
        <v/>
      </c>
      <c r="K32" s="36">
        <f>SUM(F32:G32)</f>
        <v/>
      </c>
      <c r="L32" s="32">
        <f>SUM(I32:J32)</f>
        <v/>
      </c>
      <c r="M32" s="49" t="n"/>
      <c r="N32" s="49" t="n"/>
      <c r="O32" s="49" t="n"/>
    </row>
    <row r="33">
      <c r="A33" s="49" t="n"/>
      <c r="B33" s="49" t="n"/>
      <c r="C33" s="36">
        <f>IFERROR(INDEX('Employee Database'!$B$3:$B$202,MATCH(B33,'Employee Database'!$A$3:$A$202,0)),"")</f>
        <v/>
      </c>
      <c r="D33" s="50" t="n"/>
      <c r="E33" s="50" t="n"/>
      <c r="F33" s="49" t="n"/>
      <c r="G33" s="49" t="n"/>
      <c r="H33" s="32">
        <f>IFERROR(INDEX('Employee Database'!$K$3:$K$202,MATCH(B33,'Employee Database'!$A$3:$A$202,0)),0)</f>
        <v/>
      </c>
      <c r="I33" s="32">
        <f>ROUND(F33*H33,2)</f>
        <v/>
      </c>
      <c r="J33" s="32">
        <f>ROUND(G33*H33*1.5,2)</f>
        <v/>
      </c>
      <c r="K33" s="36">
        <f>SUM(F33:G33)</f>
        <v/>
      </c>
      <c r="L33" s="32">
        <f>SUM(I33:J33)</f>
        <v/>
      </c>
      <c r="M33" s="49" t="n"/>
      <c r="N33" s="49" t="n"/>
      <c r="O33" s="49" t="n"/>
    </row>
    <row r="34">
      <c r="A34" s="49" t="n"/>
      <c r="B34" s="49" t="n"/>
      <c r="C34" s="36">
        <f>IFERROR(INDEX('Employee Database'!$B$3:$B$202,MATCH(B34,'Employee Database'!$A$3:$A$202,0)),"")</f>
        <v/>
      </c>
      <c r="D34" s="50" t="n"/>
      <c r="E34" s="50" t="n"/>
      <c r="F34" s="49" t="n"/>
      <c r="G34" s="49" t="n"/>
      <c r="H34" s="32">
        <f>IFERROR(INDEX('Employee Database'!$K$3:$K$202,MATCH(B34,'Employee Database'!$A$3:$A$202,0)),0)</f>
        <v/>
      </c>
      <c r="I34" s="32">
        <f>ROUND(F34*H34,2)</f>
        <v/>
      </c>
      <c r="J34" s="32">
        <f>ROUND(G34*H34*1.5,2)</f>
        <v/>
      </c>
      <c r="K34" s="36">
        <f>SUM(F34:G34)</f>
        <v/>
      </c>
      <c r="L34" s="32">
        <f>SUM(I34:J34)</f>
        <v/>
      </c>
      <c r="M34" s="49" t="n"/>
      <c r="N34" s="49" t="n"/>
      <c r="O34" s="49" t="n"/>
    </row>
    <row r="35">
      <c r="A35" s="49" t="n"/>
      <c r="B35" s="49" t="n"/>
      <c r="C35" s="36">
        <f>IFERROR(INDEX('Employee Database'!$B$3:$B$202,MATCH(B35,'Employee Database'!$A$3:$A$202,0)),"")</f>
        <v/>
      </c>
      <c r="D35" s="50" t="n"/>
      <c r="E35" s="50" t="n"/>
      <c r="F35" s="49" t="n"/>
      <c r="G35" s="49" t="n"/>
      <c r="H35" s="32">
        <f>IFERROR(INDEX('Employee Database'!$K$3:$K$202,MATCH(B35,'Employee Database'!$A$3:$A$202,0)),0)</f>
        <v/>
      </c>
      <c r="I35" s="32">
        <f>ROUND(F35*H35,2)</f>
        <v/>
      </c>
      <c r="J35" s="32">
        <f>ROUND(G35*H35*1.5,2)</f>
        <v/>
      </c>
      <c r="K35" s="36">
        <f>SUM(F35:G35)</f>
        <v/>
      </c>
      <c r="L35" s="32">
        <f>SUM(I35:J35)</f>
        <v/>
      </c>
      <c r="M35" s="49" t="n"/>
      <c r="N35" s="49" t="n"/>
      <c r="O35" s="49" t="n"/>
    </row>
    <row r="36">
      <c r="A36" s="49" t="n"/>
      <c r="B36" s="49" t="n"/>
      <c r="C36" s="36">
        <f>IFERROR(INDEX('Employee Database'!$B$3:$B$202,MATCH(B36,'Employee Database'!$A$3:$A$202,0)),"")</f>
        <v/>
      </c>
      <c r="D36" s="50" t="n"/>
      <c r="E36" s="50" t="n"/>
      <c r="F36" s="49" t="n"/>
      <c r="G36" s="49" t="n"/>
      <c r="H36" s="32">
        <f>IFERROR(INDEX('Employee Database'!$K$3:$K$202,MATCH(B36,'Employee Database'!$A$3:$A$202,0)),0)</f>
        <v/>
      </c>
      <c r="I36" s="32">
        <f>ROUND(F36*H36,2)</f>
        <v/>
      </c>
      <c r="J36" s="32">
        <f>ROUND(G36*H36*1.5,2)</f>
        <v/>
      </c>
      <c r="K36" s="36">
        <f>SUM(F36:G36)</f>
        <v/>
      </c>
      <c r="L36" s="32">
        <f>SUM(I36:J36)</f>
        <v/>
      </c>
      <c r="M36" s="49" t="n"/>
      <c r="N36" s="49" t="n"/>
      <c r="O36" s="49" t="n"/>
    </row>
    <row r="37">
      <c r="A37" s="49" t="n"/>
      <c r="B37" s="49" t="n"/>
      <c r="C37" s="36">
        <f>IFERROR(INDEX('Employee Database'!$B$3:$B$202,MATCH(B37,'Employee Database'!$A$3:$A$202,0)),"")</f>
        <v/>
      </c>
      <c r="D37" s="50" t="n"/>
      <c r="E37" s="50" t="n"/>
      <c r="F37" s="49" t="n"/>
      <c r="G37" s="49" t="n"/>
      <c r="H37" s="32">
        <f>IFERROR(INDEX('Employee Database'!$K$3:$K$202,MATCH(B37,'Employee Database'!$A$3:$A$202,0)),0)</f>
        <v/>
      </c>
      <c r="I37" s="32">
        <f>ROUND(F37*H37,2)</f>
        <v/>
      </c>
      <c r="J37" s="32">
        <f>ROUND(G37*H37*1.5,2)</f>
        <v/>
      </c>
      <c r="K37" s="36">
        <f>SUM(F37:G37)</f>
        <v/>
      </c>
      <c r="L37" s="32">
        <f>SUM(I37:J37)</f>
        <v/>
      </c>
      <c r="M37" s="49" t="n"/>
      <c r="N37" s="49" t="n"/>
      <c r="O37" s="49" t="n"/>
    </row>
    <row r="38">
      <c r="A38" s="49" t="n"/>
      <c r="B38" s="49" t="n"/>
      <c r="C38" s="36">
        <f>IFERROR(INDEX('Employee Database'!$B$3:$B$202,MATCH(B38,'Employee Database'!$A$3:$A$202,0)),"")</f>
        <v/>
      </c>
      <c r="D38" s="50" t="n"/>
      <c r="E38" s="50" t="n"/>
      <c r="F38" s="49" t="n"/>
      <c r="G38" s="49" t="n"/>
      <c r="H38" s="32">
        <f>IFERROR(INDEX('Employee Database'!$K$3:$K$202,MATCH(B38,'Employee Database'!$A$3:$A$202,0)),0)</f>
        <v/>
      </c>
      <c r="I38" s="32">
        <f>ROUND(F38*H38,2)</f>
        <v/>
      </c>
      <c r="J38" s="32">
        <f>ROUND(G38*H38*1.5,2)</f>
        <v/>
      </c>
      <c r="K38" s="36">
        <f>SUM(F38:G38)</f>
        <v/>
      </c>
      <c r="L38" s="32">
        <f>SUM(I38:J38)</f>
        <v/>
      </c>
      <c r="M38" s="49" t="n"/>
      <c r="N38" s="49" t="n"/>
      <c r="O38" s="49" t="n"/>
    </row>
    <row r="39">
      <c r="A39" s="49" t="n"/>
      <c r="B39" s="49" t="n"/>
      <c r="C39" s="36">
        <f>IFERROR(INDEX('Employee Database'!$B$3:$B$202,MATCH(B39,'Employee Database'!$A$3:$A$202,0)),"")</f>
        <v/>
      </c>
      <c r="D39" s="50" t="n"/>
      <c r="E39" s="50" t="n"/>
      <c r="F39" s="49" t="n"/>
      <c r="G39" s="49" t="n"/>
      <c r="H39" s="32">
        <f>IFERROR(INDEX('Employee Database'!$K$3:$K$202,MATCH(B39,'Employee Database'!$A$3:$A$202,0)),0)</f>
        <v/>
      </c>
      <c r="I39" s="32">
        <f>ROUND(F39*H39,2)</f>
        <v/>
      </c>
      <c r="J39" s="32">
        <f>ROUND(G39*H39*1.5,2)</f>
        <v/>
      </c>
      <c r="K39" s="36">
        <f>SUM(F39:G39)</f>
        <v/>
      </c>
      <c r="L39" s="32">
        <f>SUM(I39:J39)</f>
        <v/>
      </c>
      <c r="M39" s="49" t="n"/>
      <c r="N39" s="49" t="n"/>
      <c r="O39" s="49" t="n"/>
    </row>
    <row r="40">
      <c r="A40" s="49" t="n"/>
      <c r="B40" s="49" t="n"/>
      <c r="C40" s="36">
        <f>IFERROR(INDEX('Employee Database'!$B$3:$B$202,MATCH(B40,'Employee Database'!$A$3:$A$202,0)),"")</f>
        <v/>
      </c>
      <c r="D40" s="50" t="n"/>
      <c r="E40" s="50" t="n"/>
      <c r="F40" s="49" t="n"/>
      <c r="G40" s="49" t="n"/>
      <c r="H40" s="32">
        <f>IFERROR(INDEX('Employee Database'!$K$3:$K$202,MATCH(B40,'Employee Database'!$A$3:$A$202,0)),0)</f>
        <v/>
      </c>
      <c r="I40" s="32">
        <f>ROUND(F40*H40,2)</f>
        <v/>
      </c>
      <c r="J40" s="32">
        <f>ROUND(G40*H40*1.5,2)</f>
        <v/>
      </c>
      <c r="K40" s="36">
        <f>SUM(F40:G40)</f>
        <v/>
      </c>
      <c r="L40" s="32">
        <f>SUM(I40:J40)</f>
        <v/>
      </c>
      <c r="M40" s="49" t="n"/>
      <c r="N40" s="49" t="n"/>
      <c r="O40" s="49" t="n"/>
    </row>
    <row r="41">
      <c r="A41" s="49" t="n"/>
      <c r="B41" s="49" t="n"/>
      <c r="C41" s="36">
        <f>IFERROR(INDEX('Employee Database'!$B$3:$B$202,MATCH(B41,'Employee Database'!$A$3:$A$202,0)),"")</f>
        <v/>
      </c>
      <c r="D41" s="50" t="n"/>
      <c r="E41" s="50" t="n"/>
      <c r="F41" s="49" t="n"/>
      <c r="G41" s="49" t="n"/>
      <c r="H41" s="32">
        <f>IFERROR(INDEX('Employee Database'!$K$3:$K$202,MATCH(B41,'Employee Database'!$A$3:$A$202,0)),0)</f>
        <v/>
      </c>
      <c r="I41" s="32">
        <f>ROUND(F41*H41,2)</f>
        <v/>
      </c>
      <c r="J41" s="32">
        <f>ROUND(G41*H41*1.5,2)</f>
        <v/>
      </c>
      <c r="K41" s="36">
        <f>SUM(F41:G41)</f>
        <v/>
      </c>
      <c r="L41" s="32">
        <f>SUM(I41:J41)</f>
        <v/>
      </c>
      <c r="M41" s="49" t="n"/>
      <c r="N41" s="49" t="n"/>
      <c r="O41" s="49" t="n"/>
    </row>
    <row r="42">
      <c r="A42" s="49" t="n"/>
      <c r="B42" s="49" t="n"/>
      <c r="C42" s="36">
        <f>IFERROR(INDEX('Employee Database'!$B$3:$B$202,MATCH(B42,'Employee Database'!$A$3:$A$202,0)),"")</f>
        <v/>
      </c>
      <c r="D42" s="50" t="n"/>
      <c r="E42" s="50" t="n"/>
      <c r="F42" s="49" t="n"/>
      <c r="G42" s="49" t="n"/>
      <c r="H42" s="32">
        <f>IFERROR(INDEX('Employee Database'!$K$3:$K$202,MATCH(B42,'Employee Database'!$A$3:$A$202,0)),0)</f>
        <v/>
      </c>
      <c r="I42" s="32">
        <f>ROUND(F42*H42,2)</f>
        <v/>
      </c>
      <c r="J42" s="32">
        <f>ROUND(G42*H42*1.5,2)</f>
        <v/>
      </c>
      <c r="K42" s="36">
        <f>SUM(F42:G42)</f>
        <v/>
      </c>
      <c r="L42" s="32">
        <f>SUM(I42:J42)</f>
        <v/>
      </c>
      <c r="M42" s="49" t="n"/>
      <c r="N42" s="49" t="n"/>
      <c r="O42" s="49" t="n"/>
    </row>
    <row r="43">
      <c r="A43" s="49" t="n"/>
      <c r="B43" s="49" t="n"/>
      <c r="C43" s="36">
        <f>IFERROR(INDEX('Employee Database'!$B$3:$B$202,MATCH(B43,'Employee Database'!$A$3:$A$202,0)),"")</f>
        <v/>
      </c>
      <c r="D43" s="50" t="n"/>
      <c r="E43" s="50" t="n"/>
      <c r="F43" s="49" t="n"/>
      <c r="G43" s="49" t="n"/>
      <c r="H43" s="32">
        <f>IFERROR(INDEX('Employee Database'!$K$3:$K$202,MATCH(B43,'Employee Database'!$A$3:$A$202,0)),0)</f>
        <v/>
      </c>
      <c r="I43" s="32">
        <f>ROUND(F43*H43,2)</f>
        <v/>
      </c>
      <c r="J43" s="32">
        <f>ROUND(G43*H43*1.5,2)</f>
        <v/>
      </c>
      <c r="K43" s="36">
        <f>SUM(F43:G43)</f>
        <v/>
      </c>
      <c r="L43" s="32">
        <f>SUM(I43:J43)</f>
        <v/>
      </c>
      <c r="M43" s="49" t="n"/>
      <c r="N43" s="49" t="n"/>
      <c r="O43" s="49" t="n"/>
    </row>
    <row r="44">
      <c r="A44" s="49" t="n"/>
      <c r="B44" s="49" t="n"/>
      <c r="C44" s="36">
        <f>IFERROR(INDEX('Employee Database'!$B$3:$B$202,MATCH(B44,'Employee Database'!$A$3:$A$202,0)),"")</f>
        <v/>
      </c>
      <c r="D44" s="50" t="n"/>
      <c r="E44" s="50" t="n"/>
      <c r="F44" s="49" t="n"/>
      <c r="G44" s="49" t="n"/>
      <c r="H44" s="32">
        <f>IFERROR(INDEX('Employee Database'!$K$3:$K$202,MATCH(B44,'Employee Database'!$A$3:$A$202,0)),0)</f>
        <v/>
      </c>
      <c r="I44" s="32">
        <f>ROUND(F44*H44,2)</f>
        <v/>
      </c>
      <c r="J44" s="32">
        <f>ROUND(G44*H44*1.5,2)</f>
        <v/>
      </c>
      <c r="K44" s="36">
        <f>SUM(F44:G44)</f>
        <v/>
      </c>
      <c r="L44" s="32">
        <f>SUM(I44:J44)</f>
        <v/>
      </c>
      <c r="M44" s="49" t="n"/>
      <c r="N44" s="49" t="n"/>
      <c r="O44" s="49" t="n"/>
    </row>
    <row r="45">
      <c r="A45" s="49" t="n"/>
      <c r="B45" s="49" t="n"/>
      <c r="C45" s="36">
        <f>IFERROR(INDEX('Employee Database'!$B$3:$B$202,MATCH(B45,'Employee Database'!$A$3:$A$202,0)),"")</f>
        <v/>
      </c>
      <c r="D45" s="50" t="n"/>
      <c r="E45" s="50" t="n"/>
      <c r="F45" s="49" t="n"/>
      <c r="G45" s="49" t="n"/>
      <c r="H45" s="32">
        <f>IFERROR(INDEX('Employee Database'!$K$3:$K$202,MATCH(B45,'Employee Database'!$A$3:$A$202,0)),0)</f>
        <v/>
      </c>
      <c r="I45" s="32">
        <f>ROUND(F45*H45,2)</f>
        <v/>
      </c>
      <c r="J45" s="32">
        <f>ROUND(G45*H45*1.5,2)</f>
        <v/>
      </c>
      <c r="K45" s="36">
        <f>SUM(F45:G45)</f>
        <v/>
      </c>
      <c r="L45" s="32">
        <f>SUM(I45:J45)</f>
        <v/>
      </c>
      <c r="M45" s="49" t="n"/>
      <c r="N45" s="49" t="n"/>
      <c r="O45" s="49" t="n"/>
    </row>
    <row r="46">
      <c r="A46" s="49" t="n"/>
      <c r="B46" s="49" t="n"/>
      <c r="C46" s="36">
        <f>IFERROR(INDEX('Employee Database'!$B$3:$B$202,MATCH(B46,'Employee Database'!$A$3:$A$202,0)),"")</f>
        <v/>
      </c>
      <c r="D46" s="50" t="n"/>
      <c r="E46" s="50" t="n"/>
      <c r="F46" s="49" t="n"/>
      <c r="G46" s="49" t="n"/>
      <c r="H46" s="32">
        <f>IFERROR(INDEX('Employee Database'!$K$3:$K$202,MATCH(B46,'Employee Database'!$A$3:$A$202,0)),0)</f>
        <v/>
      </c>
      <c r="I46" s="32">
        <f>ROUND(F46*H46,2)</f>
        <v/>
      </c>
      <c r="J46" s="32">
        <f>ROUND(G46*H46*1.5,2)</f>
        <v/>
      </c>
      <c r="K46" s="36">
        <f>SUM(F46:G46)</f>
        <v/>
      </c>
      <c r="L46" s="32">
        <f>SUM(I46:J46)</f>
        <v/>
      </c>
      <c r="M46" s="49" t="n"/>
      <c r="N46" s="49" t="n"/>
      <c r="O46" s="49" t="n"/>
    </row>
    <row r="47">
      <c r="A47" s="49" t="n"/>
      <c r="B47" s="49" t="n"/>
      <c r="C47" s="36">
        <f>IFERROR(INDEX('Employee Database'!$B$3:$B$202,MATCH(B47,'Employee Database'!$A$3:$A$202,0)),"")</f>
        <v/>
      </c>
      <c r="D47" s="50" t="n"/>
      <c r="E47" s="50" t="n"/>
      <c r="F47" s="49" t="n"/>
      <c r="G47" s="49" t="n"/>
      <c r="H47" s="32">
        <f>IFERROR(INDEX('Employee Database'!$K$3:$K$202,MATCH(B47,'Employee Database'!$A$3:$A$202,0)),0)</f>
        <v/>
      </c>
      <c r="I47" s="32">
        <f>ROUND(F47*H47,2)</f>
        <v/>
      </c>
      <c r="J47" s="32">
        <f>ROUND(G47*H47*1.5,2)</f>
        <v/>
      </c>
      <c r="K47" s="36">
        <f>SUM(F47:G47)</f>
        <v/>
      </c>
      <c r="L47" s="32">
        <f>SUM(I47:J47)</f>
        <v/>
      </c>
      <c r="M47" s="49" t="n"/>
      <c r="N47" s="49" t="n"/>
      <c r="O47" s="49" t="n"/>
    </row>
    <row r="48">
      <c r="A48" s="49" t="n"/>
      <c r="B48" s="49" t="n"/>
      <c r="C48" s="36">
        <f>IFERROR(INDEX('Employee Database'!$B$3:$B$202,MATCH(B48,'Employee Database'!$A$3:$A$202,0)),"")</f>
        <v/>
      </c>
      <c r="D48" s="50" t="n"/>
      <c r="E48" s="50" t="n"/>
      <c r="F48" s="49" t="n"/>
      <c r="G48" s="49" t="n"/>
      <c r="H48" s="32">
        <f>IFERROR(INDEX('Employee Database'!$K$3:$K$202,MATCH(B48,'Employee Database'!$A$3:$A$202,0)),0)</f>
        <v/>
      </c>
      <c r="I48" s="32">
        <f>ROUND(F48*H48,2)</f>
        <v/>
      </c>
      <c r="J48" s="32">
        <f>ROUND(G48*H48*1.5,2)</f>
        <v/>
      </c>
      <c r="K48" s="36">
        <f>SUM(F48:G48)</f>
        <v/>
      </c>
      <c r="L48" s="32">
        <f>SUM(I48:J48)</f>
        <v/>
      </c>
      <c r="M48" s="49" t="n"/>
      <c r="N48" s="49" t="n"/>
      <c r="O48" s="49" t="n"/>
    </row>
    <row r="49">
      <c r="A49" s="49" t="n"/>
      <c r="B49" s="49" t="n"/>
      <c r="C49" s="36">
        <f>IFERROR(INDEX('Employee Database'!$B$3:$B$202,MATCH(B49,'Employee Database'!$A$3:$A$202,0)),"")</f>
        <v/>
      </c>
      <c r="D49" s="50" t="n"/>
      <c r="E49" s="50" t="n"/>
      <c r="F49" s="49" t="n"/>
      <c r="G49" s="49" t="n"/>
      <c r="H49" s="32">
        <f>IFERROR(INDEX('Employee Database'!$K$3:$K$202,MATCH(B49,'Employee Database'!$A$3:$A$202,0)),0)</f>
        <v/>
      </c>
      <c r="I49" s="32">
        <f>ROUND(F49*H49,2)</f>
        <v/>
      </c>
      <c r="J49" s="32">
        <f>ROUND(G49*H49*1.5,2)</f>
        <v/>
      </c>
      <c r="K49" s="36">
        <f>SUM(F49:G49)</f>
        <v/>
      </c>
      <c r="L49" s="32">
        <f>SUM(I49:J49)</f>
        <v/>
      </c>
      <c r="M49" s="49" t="n"/>
      <c r="N49" s="49" t="n"/>
      <c r="O49" s="49" t="n"/>
    </row>
    <row r="50">
      <c r="A50" s="49" t="n"/>
      <c r="B50" s="49" t="n"/>
      <c r="C50" s="36">
        <f>IFERROR(INDEX('Employee Database'!$B$3:$B$202,MATCH(B50,'Employee Database'!$A$3:$A$202,0)),"")</f>
        <v/>
      </c>
      <c r="D50" s="50" t="n"/>
      <c r="E50" s="50" t="n"/>
      <c r="F50" s="49" t="n"/>
      <c r="G50" s="49" t="n"/>
      <c r="H50" s="32">
        <f>IFERROR(INDEX('Employee Database'!$K$3:$K$202,MATCH(B50,'Employee Database'!$A$3:$A$202,0)),0)</f>
        <v/>
      </c>
      <c r="I50" s="32">
        <f>ROUND(F50*H50,2)</f>
        <v/>
      </c>
      <c r="J50" s="32">
        <f>ROUND(G50*H50*1.5,2)</f>
        <v/>
      </c>
      <c r="K50" s="36">
        <f>SUM(F50:G50)</f>
        <v/>
      </c>
      <c r="L50" s="32">
        <f>SUM(I50:J50)</f>
        <v/>
      </c>
      <c r="M50" s="49" t="n"/>
      <c r="N50" s="49" t="n"/>
      <c r="O50" s="49" t="n"/>
    </row>
    <row r="51">
      <c r="A51" s="49" t="n"/>
      <c r="B51" s="49" t="n"/>
      <c r="C51" s="36">
        <f>IFERROR(INDEX('Employee Database'!$B$3:$B$202,MATCH(B51,'Employee Database'!$A$3:$A$202,0)),"")</f>
        <v/>
      </c>
      <c r="D51" s="50" t="n"/>
      <c r="E51" s="50" t="n"/>
      <c r="F51" s="49" t="n"/>
      <c r="G51" s="49" t="n"/>
      <c r="H51" s="32">
        <f>IFERROR(INDEX('Employee Database'!$K$3:$K$202,MATCH(B51,'Employee Database'!$A$3:$A$202,0)),0)</f>
        <v/>
      </c>
      <c r="I51" s="32">
        <f>ROUND(F51*H51,2)</f>
        <v/>
      </c>
      <c r="J51" s="32">
        <f>ROUND(G51*H51*1.5,2)</f>
        <v/>
      </c>
      <c r="K51" s="36">
        <f>SUM(F51:G51)</f>
        <v/>
      </c>
      <c r="L51" s="32">
        <f>SUM(I51:J51)</f>
        <v/>
      </c>
      <c r="M51" s="49" t="n"/>
      <c r="N51" s="49" t="n"/>
      <c r="O51" s="49" t="n"/>
    </row>
    <row r="52">
      <c r="A52" s="49" t="n"/>
      <c r="B52" s="49" t="n"/>
      <c r="C52" s="36">
        <f>IFERROR(INDEX('Employee Database'!$B$3:$B$202,MATCH(B52,'Employee Database'!$A$3:$A$202,0)),"")</f>
        <v/>
      </c>
      <c r="D52" s="50" t="n"/>
      <c r="E52" s="50" t="n"/>
      <c r="F52" s="49" t="n"/>
      <c r="G52" s="49" t="n"/>
      <c r="H52" s="32">
        <f>IFERROR(INDEX('Employee Database'!$K$3:$K$202,MATCH(B52,'Employee Database'!$A$3:$A$202,0)),0)</f>
        <v/>
      </c>
      <c r="I52" s="32">
        <f>ROUND(F52*H52,2)</f>
        <v/>
      </c>
      <c r="J52" s="32">
        <f>ROUND(G52*H52*1.5,2)</f>
        <v/>
      </c>
      <c r="K52" s="36">
        <f>SUM(F52:G52)</f>
        <v/>
      </c>
      <c r="L52" s="32">
        <f>SUM(I52:J52)</f>
        <v/>
      </c>
      <c r="M52" s="49" t="n"/>
      <c r="N52" s="49" t="n"/>
      <c r="O52" s="49" t="n"/>
    </row>
    <row r="53">
      <c r="A53" s="49" t="n"/>
      <c r="B53" s="49" t="n"/>
      <c r="C53" s="36">
        <f>IFERROR(INDEX('Employee Database'!$B$3:$B$202,MATCH(B53,'Employee Database'!$A$3:$A$202,0)),"")</f>
        <v/>
      </c>
      <c r="D53" s="50" t="n"/>
      <c r="E53" s="50" t="n"/>
      <c r="F53" s="49" t="n"/>
      <c r="G53" s="49" t="n"/>
      <c r="H53" s="32">
        <f>IFERROR(INDEX('Employee Database'!$K$3:$K$202,MATCH(B53,'Employee Database'!$A$3:$A$202,0)),0)</f>
        <v/>
      </c>
      <c r="I53" s="32">
        <f>ROUND(F53*H53,2)</f>
        <v/>
      </c>
      <c r="J53" s="32">
        <f>ROUND(G53*H53*1.5,2)</f>
        <v/>
      </c>
      <c r="K53" s="36">
        <f>SUM(F53:G53)</f>
        <v/>
      </c>
      <c r="L53" s="32">
        <f>SUM(I53:J53)</f>
        <v/>
      </c>
      <c r="M53" s="49" t="n"/>
      <c r="N53" s="49" t="n"/>
      <c r="O53" s="49" t="n"/>
    </row>
    <row r="54">
      <c r="A54" s="49" t="n"/>
      <c r="B54" s="49" t="n"/>
      <c r="C54" s="36">
        <f>IFERROR(INDEX('Employee Database'!$B$3:$B$202,MATCH(B54,'Employee Database'!$A$3:$A$202,0)),"")</f>
        <v/>
      </c>
      <c r="D54" s="50" t="n"/>
      <c r="E54" s="50" t="n"/>
      <c r="F54" s="49" t="n"/>
      <c r="G54" s="49" t="n"/>
      <c r="H54" s="32">
        <f>IFERROR(INDEX('Employee Database'!$K$3:$K$202,MATCH(B54,'Employee Database'!$A$3:$A$202,0)),0)</f>
        <v/>
      </c>
      <c r="I54" s="32">
        <f>ROUND(F54*H54,2)</f>
        <v/>
      </c>
      <c r="J54" s="32">
        <f>ROUND(G54*H54*1.5,2)</f>
        <v/>
      </c>
      <c r="K54" s="36">
        <f>SUM(F54:G54)</f>
        <v/>
      </c>
      <c r="L54" s="32">
        <f>SUM(I54:J54)</f>
        <v/>
      </c>
      <c r="M54" s="49" t="n"/>
      <c r="N54" s="49" t="n"/>
      <c r="O54" s="49" t="n"/>
    </row>
    <row r="55">
      <c r="A55" s="49" t="n"/>
      <c r="B55" s="49" t="n"/>
      <c r="C55" s="36">
        <f>IFERROR(INDEX('Employee Database'!$B$3:$B$202,MATCH(B55,'Employee Database'!$A$3:$A$202,0)),"")</f>
        <v/>
      </c>
      <c r="D55" s="50" t="n"/>
      <c r="E55" s="50" t="n"/>
      <c r="F55" s="49" t="n"/>
      <c r="G55" s="49" t="n"/>
      <c r="H55" s="32">
        <f>IFERROR(INDEX('Employee Database'!$K$3:$K$202,MATCH(B55,'Employee Database'!$A$3:$A$202,0)),0)</f>
        <v/>
      </c>
      <c r="I55" s="32">
        <f>ROUND(F55*H55,2)</f>
        <v/>
      </c>
      <c r="J55" s="32">
        <f>ROUND(G55*H55*1.5,2)</f>
        <v/>
      </c>
      <c r="K55" s="36">
        <f>SUM(F55:G55)</f>
        <v/>
      </c>
      <c r="L55" s="32">
        <f>SUM(I55:J55)</f>
        <v/>
      </c>
      <c r="M55" s="49" t="n"/>
      <c r="N55" s="49" t="n"/>
      <c r="O55" s="49" t="n"/>
    </row>
    <row r="56">
      <c r="A56" s="49" t="n"/>
      <c r="B56" s="49" t="n"/>
      <c r="C56" s="36">
        <f>IFERROR(INDEX('Employee Database'!$B$3:$B$202,MATCH(B56,'Employee Database'!$A$3:$A$202,0)),"")</f>
        <v/>
      </c>
      <c r="D56" s="50" t="n"/>
      <c r="E56" s="50" t="n"/>
      <c r="F56" s="49" t="n"/>
      <c r="G56" s="49" t="n"/>
      <c r="H56" s="32">
        <f>IFERROR(INDEX('Employee Database'!$K$3:$K$202,MATCH(B56,'Employee Database'!$A$3:$A$202,0)),0)</f>
        <v/>
      </c>
      <c r="I56" s="32">
        <f>ROUND(F56*H56,2)</f>
        <v/>
      </c>
      <c r="J56" s="32">
        <f>ROUND(G56*H56*1.5,2)</f>
        <v/>
      </c>
      <c r="K56" s="36">
        <f>SUM(F56:G56)</f>
        <v/>
      </c>
      <c r="L56" s="32">
        <f>SUM(I56:J56)</f>
        <v/>
      </c>
      <c r="M56" s="49" t="n"/>
      <c r="N56" s="49" t="n"/>
      <c r="O56" s="49" t="n"/>
    </row>
    <row r="57">
      <c r="A57" s="49" t="n"/>
      <c r="B57" s="49" t="n"/>
      <c r="C57" s="36">
        <f>IFERROR(INDEX('Employee Database'!$B$3:$B$202,MATCH(B57,'Employee Database'!$A$3:$A$202,0)),"")</f>
        <v/>
      </c>
      <c r="D57" s="50" t="n"/>
      <c r="E57" s="50" t="n"/>
      <c r="F57" s="49" t="n"/>
      <c r="G57" s="49" t="n"/>
      <c r="H57" s="32">
        <f>IFERROR(INDEX('Employee Database'!$K$3:$K$202,MATCH(B57,'Employee Database'!$A$3:$A$202,0)),0)</f>
        <v/>
      </c>
      <c r="I57" s="32">
        <f>ROUND(F57*H57,2)</f>
        <v/>
      </c>
      <c r="J57" s="32">
        <f>ROUND(G57*H57*1.5,2)</f>
        <v/>
      </c>
      <c r="K57" s="36">
        <f>SUM(F57:G57)</f>
        <v/>
      </c>
      <c r="L57" s="32">
        <f>SUM(I57:J57)</f>
        <v/>
      </c>
      <c r="M57" s="49" t="n"/>
      <c r="N57" s="49" t="n"/>
      <c r="O57" s="49" t="n"/>
    </row>
    <row r="58">
      <c r="A58" s="49" t="n"/>
      <c r="B58" s="49" t="n"/>
      <c r="C58" s="36">
        <f>IFERROR(INDEX('Employee Database'!$B$3:$B$202,MATCH(B58,'Employee Database'!$A$3:$A$202,0)),"")</f>
        <v/>
      </c>
      <c r="D58" s="50" t="n"/>
      <c r="E58" s="50" t="n"/>
      <c r="F58" s="49" t="n"/>
      <c r="G58" s="49" t="n"/>
      <c r="H58" s="32">
        <f>IFERROR(INDEX('Employee Database'!$K$3:$K$202,MATCH(B58,'Employee Database'!$A$3:$A$202,0)),0)</f>
        <v/>
      </c>
      <c r="I58" s="32">
        <f>ROUND(F58*H58,2)</f>
        <v/>
      </c>
      <c r="J58" s="32">
        <f>ROUND(G58*H58*1.5,2)</f>
        <v/>
      </c>
      <c r="K58" s="36">
        <f>SUM(F58:G58)</f>
        <v/>
      </c>
      <c r="L58" s="32">
        <f>SUM(I58:J58)</f>
        <v/>
      </c>
      <c r="M58" s="49" t="n"/>
      <c r="N58" s="49" t="n"/>
      <c r="O58" s="49" t="n"/>
    </row>
    <row r="59">
      <c r="A59" s="49" t="n"/>
      <c r="B59" s="49" t="n"/>
      <c r="C59" s="36">
        <f>IFERROR(INDEX('Employee Database'!$B$3:$B$202,MATCH(B59,'Employee Database'!$A$3:$A$202,0)),"")</f>
        <v/>
      </c>
      <c r="D59" s="50" t="n"/>
      <c r="E59" s="50" t="n"/>
      <c r="F59" s="49" t="n"/>
      <c r="G59" s="49" t="n"/>
      <c r="H59" s="32">
        <f>IFERROR(INDEX('Employee Database'!$K$3:$K$202,MATCH(B59,'Employee Database'!$A$3:$A$202,0)),0)</f>
        <v/>
      </c>
      <c r="I59" s="32">
        <f>ROUND(F59*H59,2)</f>
        <v/>
      </c>
      <c r="J59" s="32">
        <f>ROUND(G59*H59*1.5,2)</f>
        <v/>
      </c>
      <c r="K59" s="36">
        <f>SUM(F59:G59)</f>
        <v/>
      </c>
      <c r="L59" s="32">
        <f>SUM(I59:J59)</f>
        <v/>
      </c>
      <c r="M59" s="49" t="n"/>
      <c r="N59" s="49" t="n"/>
      <c r="O59" s="49" t="n"/>
    </row>
    <row r="60">
      <c r="A60" s="49" t="n"/>
      <c r="B60" s="49" t="n"/>
      <c r="C60" s="36">
        <f>IFERROR(INDEX('Employee Database'!$B$3:$B$202,MATCH(B60,'Employee Database'!$A$3:$A$202,0)),"")</f>
        <v/>
      </c>
      <c r="D60" s="50" t="n"/>
      <c r="E60" s="50" t="n"/>
      <c r="F60" s="49" t="n"/>
      <c r="G60" s="49" t="n"/>
      <c r="H60" s="32">
        <f>IFERROR(INDEX('Employee Database'!$K$3:$K$202,MATCH(B60,'Employee Database'!$A$3:$A$202,0)),0)</f>
        <v/>
      </c>
      <c r="I60" s="32">
        <f>ROUND(F60*H60,2)</f>
        <v/>
      </c>
      <c r="J60" s="32">
        <f>ROUND(G60*H60*1.5,2)</f>
        <v/>
      </c>
      <c r="K60" s="36">
        <f>SUM(F60:G60)</f>
        <v/>
      </c>
      <c r="L60" s="32">
        <f>SUM(I60:J60)</f>
        <v/>
      </c>
      <c r="M60" s="49" t="n"/>
      <c r="N60" s="49" t="n"/>
      <c r="O60" s="49" t="n"/>
    </row>
    <row r="61">
      <c r="A61" s="49" t="n"/>
      <c r="B61" s="49" t="n"/>
      <c r="C61" s="36">
        <f>IFERROR(INDEX('Employee Database'!$B$3:$B$202,MATCH(B61,'Employee Database'!$A$3:$A$202,0)),"")</f>
        <v/>
      </c>
      <c r="D61" s="50" t="n"/>
      <c r="E61" s="50" t="n"/>
      <c r="F61" s="49" t="n"/>
      <c r="G61" s="49" t="n"/>
      <c r="H61" s="32">
        <f>IFERROR(INDEX('Employee Database'!$K$3:$K$202,MATCH(B61,'Employee Database'!$A$3:$A$202,0)),0)</f>
        <v/>
      </c>
      <c r="I61" s="32">
        <f>ROUND(F61*H61,2)</f>
        <v/>
      </c>
      <c r="J61" s="32">
        <f>ROUND(G61*H61*1.5,2)</f>
        <v/>
      </c>
      <c r="K61" s="36">
        <f>SUM(F61:G61)</f>
        <v/>
      </c>
      <c r="L61" s="32">
        <f>SUM(I61:J61)</f>
        <v/>
      </c>
      <c r="M61" s="49" t="n"/>
      <c r="N61" s="49" t="n"/>
      <c r="O61" s="49" t="n"/>
    </row>
    <row r="62">
      <c r="A62" s="49" t="n"/>
      <c r="B62" s="49" t="n"/>
      <c r="C62" s="36">
        <f>IFERROR(INDEX('Employee Database'!$B$3:$B$202,MATCH(B62,'Employee Database'!$A$3:$A$202,0)),"")</f>
        <v/>
      </c>
      <c r="D62" s="50" t="n"/>
      <c r="E62" s="50" t="n"/>
      <c r="F62" s="49" t="n"/>
      <c r="G62" s="49" t="n"/>
      <c r="H62" s="32">
        <f>IFERROR(INDEX('Employee Database'!$K$3:$K$202,MATCH(B62,'Employee Database'!$A$3:$A$202,0)),0)</f>
        <v/>
      </c>
      <c r="I62" s="32">
        <f>ROUND(F62*H62,2)</f>
        <v/>
      </c>
      <c r="J62" s="32">
        <f>ROUND(G62*H62*1.5,2)</f>
        <v/>
      </c>
      <c r="K62" s="36">
        <f>SUM(F62:G62)</f>
        <v/>
      </c>
      <c r="L62" s="32">
        <f>SUM(I62:J62)</f>
        <v/>
      </c>
      <c r="M62" s="49" t="n"/>
      <c r="N62" s="49" t="n"/>
      <c r="O62" s="49" t="n"/>
    </row>
    <row r="63">
      <c r="A63" s="49" t="n"/>
      <c r="B63" s="49" t="n"/>
      <c r="C63" s="36">
        <f>IFERROR(INDEX('Employee Database'!$B$3:$B$202,MATCH(B63,'Employee Database'!$A$3:$A$202,0)),"")</f>
        <v/>
      </c>
      <c r="D63" s="50" t="n"/>
      <c r="E63" s="50" t="n"/>
      <c r="F63" s="49" t="n"/>
      <c r="G63" s="49" t="n"/>
      <c r="H63" s="32">
        <f>IFERROR(INDEX('Employee Database'!$K$3:$K$202,MATCH(B63,'Employee Database'!$A$3:$A$202,0)),0)</f>
        <v/>
      </c>
      <c r="I63" s="32">
        <f>ROUND(F63*H63,2)</f>
        <v/>
      </c>
      <c r="J63" s="32">
        <f>ROUND(G63*H63*1.5,2)</f>
        <v/>
      </c>
      <c r="K63" s="36">
        <f>SUM(F63:G63)</f>
        <v/>
      </c>
      <c r="L63" s="32">
        <f>SUM(I63:J63)</f>
        <v/>
      </c>
      <c r="M63" s="49" t="n"/>
      <c r="N63" s="49" t="n"/>
      <c r="O63" s="49" t="n"/>
    </row>
    <row r="64">
      <c r="A64" s="49" t="n"/>
      <c r="B64" s="49" t="n"/>
      <c r="C64" s="36">
        <f>IFERROR(INDEX('Employee Database'!$B$3:$B$202,MATCH(B64,'Employee Database'!$A$3:$A$202,0)),"")</f>
        <v/>
      </c>
      <c r="D64" s="50" t="n"/>
      <c r="E64" s="50" t="n"/>
      <c r="F64" s="49" t="n"/>
      <c r="G64" s="49" t="n"/>
      <c r="H64" s="32">
        <f>IFERROR(INDEX('Employee Database'!$K$3:$K$202,MATCH(B64,'Employee Database'!$A$3:$A$202,0)),0)</f>
        <v/>
      </c>
      <c r="I64" s="32">
        <f>ROUND(F64*H64,2)</f>
        <v/>
      </c>
      <c r="J64" s="32">
        <f>ROUND(G64*H64*1.5,2)</f>
        <v/>
      </c>
      <c r="K64" s="36">
        <f>SUM(F64:G64)</f>
        <v/>
      </c>
      <c r="L64" s="32">
        <f>SUM(I64:J64)</f>
        <v/>
      </c>
      <c r="M64" s="49" t="n"/>
      <c r="N64" s="49" t="n"/>
      <c r="O64" s="49" t="n"/>
    </row>
    <row r="65">
      <c r="A65" s="49" t="n"/>
      <c r="B65" s="49" t="n"/>
      <c r="C65" s="36">
        <f>IFERROR(INDEX('Employee Database'!$B$3:$B$202,MATCH(B65,'Employee Database'!$A$3:$A$202,0)),"")</f>
        <v/>
      </c>
      <c r="D65" s="50" t="n"/>
      <c r="E65" s="50" t="n"/>
      <c r="F65" s="49" t="n"/>
      <c r="G65" s="49" t="n"/>
      <c r="H65" s="32">
        <f>IFERROR(INDEX('Employee Database'!$K$3:$K$202,MATCH(B65,'Employee Database'!$A$3:$A$202,0)),0)</f>
        <v/>
      </c>
      <c r="I65" s="32">
        <f>ROUND(F65*H65,2)</f>
        <v/>
      </c>
      <c r="J65" s="32">
        <f>ROUND(G65*H65*1.5,2)</f>
        <v/>
      </c>
      <c r="K65" s="36">
        <f>SUM(F65:G65)</f>
        <v/>
      </c>
      <c r="L65" s="32">
        <f>SUM(I65:J65)</f>
        <v/>
      </c>
      <c r="M65" s="49" t="n"/>
      <c r="N65" s="49" t="n"/>
      <c r="O65" s="49" t="n"/>
    </row>
    <row r="66">
      <c r="A66" s="49" t="n"/>
      <c r="B66" s="49" t="n"/>
      <c r="C66" s="36">
        <f>IFERROR(INDEX('Employee Database'!$B$3:$B$202,MATCH(B66,'Employee Database'!$A$3:$A$202,0)),"")</f>
        <v/>
      </c>
      <c r="D66" s="50" t="n"/>
      <c r="E66" s="50" t="n"/>
      <c r="F66" s="49" t="n"/>
      <c r="G66" s="49" t="n"/>
      <c r="H66" s="32">
        <f>IFERROR(INDEX('Employee Database'!$K$3:$K$202,MATCH(B66,'Employee Database'!$A$3:$A$202,0)),0)</f>
        <v/>
      </c>
      <c r="I66" s="32">
        <f>ROUND(F66*H66,2)</f>
        <v/>
      </c>
      <c r="J66" s="32">
        <f>ROUND(G66*H66*1.5,2)</f>
        <v/>
      </c>
      <c r="K66" s="36">
        <f>SUM(F66:G66)</f>
        <v/>
      </c>
      <c r="L66" s="32">
        <f>SUM(I66:J66)</f>
        <v/>
      </c>
      <c r="M66" s="49" t="n"/>
      <c r="N66" s="49" t="n"/>
      <c r="O66" s="49" t="n"/>
    </row>
    <row r="67">
      <c r="A67" s="49" t="n"/>
      <c r="B67" s="49" t="n"/>
      <c r="C67" s="36">
        <f>IFERROR(INDEX('Employee Database'!$B$3:$B$202,MATCH(B67,'Employee Database'!$A$3:$A$202,0)),"")</f>
        <v/>
      </c>
      <c r="D67" s="50" t="n"/>
      <c r="E67" s="50" t="n"/>
      <c r="F67" s="49" t="n"/>
      <c r="G67" s="49" t="n"/>
      <c r="H67" s="32">
        <f>IFERROR(INDEX('Employee Database'!$K$3:$K$202,MATCH(B67,'Employee Database'!$A$3:$A$202,0)),0)</f>
        <v/>
      </c>
      <c r="I67" s="32">
        <f>ROUND(F67*H67,2)</f>
        <v/>
      </c>
      <c r="J67" s="32">
        <f>ROUND(G67*H67*1.5,2)</f>
        <v/>
      </c>
      <c r="K67" s="36">
        <f>SUM(F67:G67)</f>
        <v/>
      </c>
      <c r="L67" s="32">
        <f>SUM(I67:J67)</f>
        <v/>
      </c>
      <c r="M67" s="49" t="n"/>
      <c r="N67" s="49" t="n"/>
      <c r="O67" s="49" t="n"/>
    </row>
    <row r="68">
      <c r="A68" s="49" t="n"/>
      <c r="B68" s="49" t="n"/>
      <c r="C68" s="36">
        <f>IFERROR(INDEX('Employee Database'!$B$3:$B$202,MATCH(B68,'Employee Database'!$A$3:$A$202,0)),"")</f>
        <v/>
      </c>
      <c r="D68" s="50" t="n"/>
      <c r="E68" s="50" t="n"/>
      <c r="F68" s="49" t="n"/>
      <c r="G68" s="49" t="n"/>
      <c r="H68" s="32">
        <f>IFERROR(INDEX('Employee Database'!$K$3:$K$202,MATCH(B68,'Employee Database'!$A$3:$A$202,0)),0)</f>
        <v/>
      </c>
      <c r="I68" s="32">
        <f>ROUND(F68*H68,2)</f>
        <v/>
      </c>
      <c r="J68" s="32">
        <f>ROUND(G68*H68*1.5,2)</f>
        <v/>
      </c>
      <c r="K68" s="36">
        <f>SUM(F68:G68)</f>
        <v/>
      </c>
      <c r="L68" s="32">
        <f>SUM(I68:J68)</f>
        <v/>
      </c>
      <c r="M68" s="49" t="n"/>
      <c r="N68" s="49" t="n"/>
      <c r="O68" s="49" t="n"/>
    </row>
    <row r="69">
      <c r="A69" s="49" t="n"/>
      <c r="B69" s="49" t="n"/>
      <c r="C69" s="36">
        <f>IFERROR(INDEX('Employee Database'!$B$3:$B$202,MATCH(B69,'Employee Database'!$A$3:$A$202,0)),"")</f>
        <v/>
      </c>
      <c r="D69" s="50" t="n"/>
      <c r="E69" s="50" t="n"/>
      <c r="F69" s="49" t="n"/>
      <c r="G69" s="49" t="n"/>
      <c r="H69" s="32">
        <f>IFERROR(INDEX('Employee Database'!$K$3:$K$202,MATCH(B69,'Employee Database'!$A$3:$A$202,0)),0)</f>
        <v/>
      </c>
      <c r="I69" s="32">
        <f>ROUND(F69*H69,2)</f>
        <v/>
      </c>
      <c r="J69" s="32">
        <f>ROUND(G69*H69*1.5,2)</f>
        <v/>
      </c>
      <c r="K69" s="36">
        <f>SUM(F69:G69)</f>
        <v/>
      </c>
      <c r="L69" s="32">
        <f>SUM(I69:J69)</f>
        <v/>
      </c>
      <c r="M69" s="49" t="n"/>
      <c r="N69" s="49" t="n"/>
      <c r="O69" s="49" t="n"/>
    </row>
    <row r="70">
      <c r="A70" s="49" t="n"/>
      <c r="B70" s="49" t="n"/>
      <c r="C70" s="36">
        <f>IFERROR(INDEX('Employee Database'!$B$3:$B$202,MATCH(B70,'Employee Database'!$A$3:$A$202,0)),"")</f>
        <v/>
      </c>
      <c r="D70" s="50" t="n"/>
      <c r="E70" s="50" t="n"/>
      <c r="F70" s="49" t="n"/>
      <c r="G70" s="49" t="n"/>
      <c r="H70" s="32">
        <f>IFERROR(INDEX('Employee Database'!$K$3:$K$202,MATCH(B70,'Employee Database'!$A$3:$A$202,0)),0)</f>
        <v/>
      </c>
      <c r="I70" s="32">
        <f>ROUND(F70*H70,2)</f>
        <v/>
      </c>
      <c r="J70" s="32">
        <f>ROUND(G70*H70*1.5,2)</f>
        <v/>
      </c>
      <c r="K70" s="36">
        <f>SUM(F70:G70)</f>
        <v/>
      </c>
      <c r="L70" s="32">
        <f>SUM(I70:J70)</f>
        <v/>
      </c>
      <c r="M70" s="49" t="n"/>
      <c r="N70" s="49" t="n"/>
      <c r="O70" s="49" t="n"/>
    </row>
    <row r="71">
      <c r="A71" s="49" t="n"/>
      <c r="B71" s="49" t="n"/>
      <c r="C71" s="36">
        <f>IFERROR(INDEX('Employee Database'!$B$3:$B$202,MATCH(B71,'Employee Database'!$A$3:$A$202,0)),"")</f>
        <v/>
      </c>
      <c r="D71" s="50" t="n"/>
      <c r="E71" s="50" t="n"/>
      <c r="F71" s="49" t="n"/>
      <c r="G71" s="49" t="n"/>
      <c r="H71" s="32">
        <f>IFERROR(INDEX('Employee Database'!$K$3:$K$202,MATCH(B71,'Employee Database'!$A$3:$A$202,0)),0)</f>
        <v/>
      </c>
      <c r="I71" s="32">
        <f>ROUND(F71*H71,2)</f>
        <v/>
      </c>
      <c r="J71" s="32">
        <f>ROUND(G71*H71*1.5,2)</f>
        <v/>
      </c>
      <c r="K71" s="36">
        <f>SUM(F71:G71)</f>
        <v/>
      </c>
      <c r="L71" s="32">
        <f>SUM(I71:J71)</f>
        <v/>
      </c>
      <c r="M71" s="49" t="n"/>
      <c r="N71" s="49" t="n"/>
      <c r="O71" s="49" t="n"/>
    </row>
    <row r="72">
      <c r="A72" s="49" t="n"/>
      <c r="B72" s="49" t="n"/>
      <c r="C72" s="36">
        <f>IFERROR(INDEX('Employee Database'!$B$3:$B$202,MATCH(B72,'Employee Database'!$A$3:$A$202,0)),"")</f>
        <v/>
      </c>
      <c r="D72" s="50" t="n"/>
      <c r="E72" s="50" t="n"/>
      <c r="F72" s="49" t="n"/>
      <c r="G72" s="49" t="n"/>
      <c r="H72" s="32">
        <f>IFERROR(INDEX('Employee Database'!$K$3:$K$202,MATCH(B72,'Employee Database'!$A$3:$A$202,0)),0)</f>
        <v/>
      </c>
      <c r="I72" s="32">
        <f>ROUND(F72*H72,2)</f>
        <v/>
      </c>
      <c r="J72" s="32">
        <f>ROUND(G72*H72*1.5,2)</f>
        <v/>
      </c>
      <c r="K72" s="36">
        <f>SUM(F72:G72)</f>
        <v/>
      </c>
      <c r="L72" s="32">
        <f>SUM(I72:J72)</f>
        <v/>
      </c>
      <c r="M72" s="49" t="n"/>
      <c r="N72" s="49" t="n"/>
      <c r="O72" s="49" t="n"/>
    </row>
    <row r="73">
      <c r="A73" s="49" t="n"/>
      <c r="B73" s="49" t="n"/>
      <c r="C73" s="36">
        <f>IFERROR(INDEX('Employee Database'!$B$3:$B$202,MATCH(B73,'Employee Database'!$A$3:$A$202,0)),"")</f>
        <v/>
      </c>
      <c r="D73" s="50" t="n"/>
      <c r="E73" s="50" t="n"/>
      <c r="F73" s="49" t="n"/>
      <c r="G73" s="49" t="n"/>
      <c r="H73" s="32">
        <f>IFERROR(INDEX('Employee Database'!$K$3:$K$202,MATCH(B73,'Employee Database'!$A$3:$A$202,0)),0)</f>
        <v/>
      </c>
      <c r="I73" s="32">
        <f>ROUND(F73*H73,2)</f>
        <v/>
      </c>
      <c r="J73" s="32">
        <f>ROUND(G73*H73*1.5,2)</f>
        <v/>
      </c>
      <c r="K73" s="36">
        <f>SUM(F73:G73)</f>
        <v/>
      </c>
      <c r="L73" s="32">
        <f>SUM(I73:J73)</f>
        <v/>
      </c>
      <c r="M73" s="49" t="n"/>
      <c r="N73" s="49" t="n"/>
      <c r="O73" s="49" t="n"/>
    </row>
    <row r="74">
      <c r="A74" s="49" t="n"/>
      <c r="B74" s="49" t="n"/>
      <c r="C74" s="36">
        <f>IFERROR(INDEX('Employee Database'!$B$3:$B$202,MATCH(B74,'Employee Database'!$A$3:$A$202,0)),"")</f>
        <v/>
      </c>
      <c r="D74" s="50" t="n"/>
      <c r="E74" s="50" t="n"/>
      <c r="F74" s="49" t="n"/>
      <c r="G74" s="49" t="n"/>
      <c r="H74" s="32">
        <f>IFERROR(INDEX('Employee Database'!$K$3:$K$202,MATCH(B74,'Employee Database'!$A$3:$A$202,0)),0)</f>
        <v/>
      </c>
      <c r="I74" s="32">
        <f>ROUND(F74*H74,2)</f>
        <v/>
      </c>
      <c r="J74" s="32">
        <f>ROUND(G74*H74*1.5,2)</f>
        <v/>
      </c>
      <c r="K74" s="36">
        <f>SUM(F74:G74)</f>
        <v/>
      </c>
      <c r="L74" s="32">
        <f>SUM(I74:J74)</f>
        <v/>
      </c>
      <c r="M74" s="49" t="n"/>
      <c r="N74" s="49" t="n"/>
      <c r="O74" s="49" t="n"/>
    </row>
    <row r="75">
      <c r="A75" s="49" t="n"/>
      <c r="B75" s="49" t="n"/>
      <c r="C75" s="36">
        <f>IFERROR(INDEX('Employee Database'!$B$3:$B$202,MATCH(B75,'Employee Database'!$A$3:$A$202,0)),"")</f>
        <v/>
      </c>
      <c r="D75" s="50" t="n"/>
      <c r="E75" s="50" t="n"/>
      <c r="F75" s="49" t="n"/>
      <c r="G75" s="49" t="n"/>
      <c r="H75" s="32">
        <f>IFERROR(INDEX('Employee Database'!$K$3:$K$202,MATCH(B75,'Employee Database'!$A$3:$A$202,0)),0)</f>
        <v/>
      </c>
      <c r="I75" s="32">
        <f>ROUND(F75*H75,2)</f>
        <v/>
      </c>
      <c r="J75" s="32">
        <f>ROUND(G75*H75*1.5,2)</f>
        <v/>
      </c>
      <c r="K75" s="36">
        <f>SUM(F75:G75)</f>
        <v/>
      </c>
      <c r="L75" s="32">
        <f>SUM(I75:J75)</f>
        <v/>
      </c>
      <c r="M75" s="49" t="n"/>
      <c r="N75" s="49" t="n"/>
      <c r="O75" s="49" t="n"/>
    </row>
    <row r="76">
      <c r="A76" s="49" t="n"/>
      <c r="B76" s="49" t="n"/>
      <c r="C76" s="36">
        <f>IFERROR(INDEX('Employee Database'!$B$3:$B$202,MATCH(B76,'Employee Database'!$A$3:$A$202,0)),"")</f>
        <v/>
      </c>
      <c r="D76" s="50" t="n"/>
      <c r="E76" s="50" t="n"/>
      <c r="F76" s="49" t="n"/>
      <c r="G76" s="49" t="n"/>
      <c r="H76" s="32">
        <f>IFERROR(INDEX('Employee Database'!$K$3:$K$202,MATCH(B76,'Employee Database'!$A$3:$A$202,0)),0)</f>
        <v/>
      </c>
      <c r="I76" s="32">
        <f>ROUND(F76*H76,2)</f>
        <v/>
      </c>
      <c r="J76" s="32">
        <f>ROUND(G76*H76*1.5,2)</f>
        <v/>
      </c>
      <c r="K76" s="36">
        <f>SUM(F76:G76)</f>
        <v/>
      </c>
      <c r="L76" s="32">
        <f>SUM(I76:J76)</f>
        <v/>
      </c>
      <c r="M76" s="49" t="n"/>
      <c r="N76" s="49" t="n"/>
      <c r="O76" s="49" t="n"/>
    </row>
    <row r="77">
      <c r="A77" s="49" t="n"/>
      <c r="B77" s="49" t="n"/>
      <c r="C77" s="36">
        <f>IFERROR(INDEX('Employee Database'!$B$3:$B$202,MATCH(B77,'Employee Database'!$A$3:$A$202,0)),"")</f>
        <v/>
      </c>
      <c r="D77" s="50" t="n"/>
      <c r="E77" s="50" t="n"/>
      <c r="F77" s="49" t="n"/>
      <c r="G77" s="49" t="n"/>
      <c r="H77" s="32">
        <f>IFERROR(INDEX('Employee Database'!$K$3:$K$202,MATCH(B77,'Employee Database'!$A$3:$A$202,0)),0)</f>
        <v/>
      </c>
      <c r="I77" s="32">
        <f>ROUND(F77*H77,2)</f>
        <v/>
      </c>
      <c r="J77" s="32">
        <f>ROUND(G77*H77*1.5,2)</f>
        <v/>
      </c>
      <c r="K77" s="36">
        <f>SUM(F77:G77)</f>
        <v/>
      </c>
      <c r="L77" s="32">
        <f>SUM(I77:J77)</f>
        <v/>
      </c>
      <c r="M77" s="49" t="n"/>
      <c r="N77" s="49" t="n"/>
      <c r="O77" s="49" t="n"/>
    </row>
    <row r="78">
      <c r="A78" s="49" t="n"/>
      <c r="B78" s="49" t="n"/>
      <c r="C78" s="36">
        <f>IFERROR(INDEX('Employee Database'!$B$3:$B$202,MATCH(B78,'Employee Database'!$A$3:$A$202,0)),"")</f>
        <v/>
      </c>
      <c r="D78" s="50" t="n"/>
      <c r="E78" s="50" t="n"/>
      <c r="F78" s="49" t="n"/>
      <c r="G78" s="49" t="n"/>
      <c r="H78" s="32">
        <f>IFERROR(INDEX('Employee Database'!$K$3:$K$202,MATCH(B78,'Employee Database'!$A$3:$A$202,0)),0)</f>
        <v/>
      </c>
      <c r="I78" s="32">
        <f>ROUND(F78*H78,2)</f>
        <v/>
      </c>
      <c r="J78" s="32">
        <f>ROUND(G78*H78*1.5,2)</f>
        <v/>
      </c>
      <c r="K78" s="36">
        <f>SUM(F78:G78)</f>
        <v/>
      </c>
      <c r="L78" s="32">
        <f>SUM(I78:J78)</f>
        <v/>
      </c>
      <c r="M78" s="49" t="n"/>
      <c r="N78" s="49" t="n"/>
      <c r="O78" s="49" t="n"/>
    </row>
    <row r="79">
      <c r="A79" s="49" t="n"/>
      <c r="B79" s="49" t="n"/>
      <c r="C79" s="36">
        <f>IFERROR(INDEX('Employee Database'!$B$3:$B$202,MATCH(B79,'Employee Database'!$A$3:$A$202,0)),"")</f>
        <v/>
      </c>
      <c r="D79" s="50" t="n"/>
      <c r="E79" s="50" t="n"/>
      <c r="F79" s="49" t="n"/>
      <c r="G79" s="49" t="n"/>
      <c r="H79" s="32">
        <f>IFERROR(INDEX('Employee Database'!$K$3:$K$202,MATCH(B79,'Employee Database'!$A$3:$A$202,0)),0)</f>
        <v/>
      </c>
      <c r="I79" s="32">
        <f>ROUND(F79*H79,2)</f>
        <v/>
      </c>
      <c r="J79" s="32">
        <f>ROUND(G79*H79*1.5,2)</f>
        <v/>
      </c>
      <c r="K79" s="36">
        <f>SUM(F79:G79)</f>
        <v/>
      </c>
      <c r="L79" s="32">
        <f>SUM(I79:J79)</f>
        <v/>
      </c>
      <c r="M79" s="49" t="n"/>
      <c r="N79" s="49" t="n"/>
      <c r="O79" s="49" t="n"/>
    </row>
    <row r="80">
      <c r="A80" s="49" t="n"/>
      <c r="B80" s="49" t="n"/>
      <c r="C80" s="36">
        <f>IFERROR(INDEX('Employee Database'!$B$3:$B$202,MATCH(B80,'Employee Database'!$A$3:$A$202,0)),"")</f>
        <v/>
      </c>
      <c r="D80" s="50" t="n"/>
      <c r="E80" s="50" t="n"/>
      <c r="F80" s="49" t="n"/>
      <c r="G80" s="49" t="n"/>
      <c r="H80" s="32">
        <f>IFERROR(INDEX('Employee Database'!$K$3:$K$202,MATCH(B80,'Employee Database'!$A$3:$A$202,0)),0)</f>
        <v/>
      </c>
      <c r="I80" s="32">
        <f>ROUND(F80*H80,2)</f>
        <v/>
      </c>
      <c r="J80" s="32">
        <f>ROUND(G80*H80*1.5,2)</f>
        <v/>
      </c>
      <c r="K80" s="36">
        <f>SUM(F80:G80)</f>
        <v/>
      </c>
      <c r="L80" s="32">
        <f>SUM(I80:J80)</f>
        <v/>
      </c>
      <c r="M80" s="49" t="n"/>
      <c r="N80" s="49" t="n"/>
      <c r="O80" s="49" t="n"/>
    </row>
    <row r="81">
      <c r="A81" s="49" t="n"/>
      <c r="B81" s="49" t="n"/>
      <c r="C81" s="36">
        <f>IFERROR(INDEX('Employee Database'!$B$3:$B$202,MATCH(B81,'Employee Database'!$A$3:$A$202,0)),"")</f>
        <v/>
      </c>
      <c r="D81" s="50" t="n"/>
      <c r="E81" s="50" t="n"/>
      <c r="F81" s="49" t="n"/>
      <c r="G81" s="49" t="n"/>
      <c r="H81" s="32">
        <f>IFERROR(INDEX('Employee Database'!$K$3:$K$202,MATCH(B81,'Employee Database'!$A$3:$A$202,0)),0)</f>
        <v/>
      </c>
      <c r="I81" s="32">
        <f>ROUND(F81*H81,2)</f>
        <v/>
      </c>
      <c r="J81" s="32">
        <f>ROUND(G81*H81*1.5,2)</f>
        <v/>
      </c>
      <c r="K81" s="36">
        <f>SUM(F81:G81)</f>
        <v/>
      </c>
      <c r="L81" s="32">
        <f>SUM(I81:J81)</f>
        <v/>
      </c>
      <c r="M81" s="49" t="n"/>
      <c r="N81" s="49" t="n"/>
      <c r="O81" s="49" t="n"/>
    </row>
    <row r="82">
      <c r="A82" s="49" t="n"/>
      <c r="B82" s="49" t="n"/>
      <c r="C82" s="36">
        <f>IFERROR(INDEX('Employee Database'!$B$3:$B$202,MATCH(B82,'Employee Database'!$A$3:$A$202,0)),"")</f>
        <v/>
      </c>
      <c r="D82" s="50" t="n"/>
      <c r="E82" s="50" t="n"/>
      <c r="F82" s="49" t="n"/>
      <c r="G82" s="49" t="n"/>
      <c r="H82" s="32">
        <f>IFERROR(INDEX('Employee Database'!$K$3:$K$202,MATCH(B82,'Employee Database'!$A$3:$A$202,0)),0)</f>
        <v/>
      </c>
      <c r="I82" s="32">
        <f>ROUND(F82*H82,2)</f>
        <v/>
      </c>
      <c r="J82" s="32">
        <f>ROUND(G82*H82*1.5,2)</f>
        <v/>
      </c>
      <c r="K82" s="36">
        <f>SUM(F82:G82)</f>
        <v/>
      </c>
      <c r="L82" s="32">
        <f>SUM(I82:J82)</f>
        <v/>
      </c>
      <c r="M82" s="49" t="n"/>
      <c r="N82" s="49" t="n"/>
      <c r="O82" s="49" t="n"/>
    </row>
    <row r="83">
      <c r="A83" s="49" t="n"/>
      <c r="B83" s="49" t="n"/>
      <c r="C83" s="36">
        <f>IFERROR(INDEX('Employee Database'!$B$3:$B$202,MATCH(B83,'Employee Database'!$A$3:$A$202,0)),"")</f>
        <v/>
      </c>
      <c r="D83" s="50" t="n"/>
      <c r="E83" s="50" t="n"/>
      <c r="F83" s="49" t="n"/>
      <c r="G83" s="49" t="n"/>
      <c r="H83" s="32">
        <f>IFERROR(INDEX('Employee Database'!$K$3:$K$202,MATCH(B83,'Employee Database'!$A$3:$A$202,0)),0)</f>
        <v/>
      </c>
      <c r="I83" s="32">
        <f>ROUND(F83*H83,2)</f>
        <v/>
      </c>
      <c r="J83" s="32">
        <f>ROUND(G83*H83*1.5,2)</f>
        <v/>
      </c>
      <c r="K83" s="36">
        <f>SUM(F83:G83)</f>
        <v/>
      </c>
      <c r="L83" s="32">
        <f>SUM(I83:J83)</f>
        <v/>
      </c>
      <c r="M83" s="49" t="n"/>
      <c r="N83" s="49" t="n"/>
      <c r="O83" s="49" t="n"/>
    </row>
    <row r="84">
      <c r="A84" s="49" t="n"/>
      <c r="B84" s="49" t="n"/>
      <c r="C84" s="36">
        <f>IFERROR(INDEX('Employee Database'!$B$3:$B$202,MATCH(B84,'Employee Database'!$A$3:$A$202,0)),"")</f>
        <v/>
      </c>
      <c r="D84" s="50" t="n"/>
      <c r="E84" s="50" t="n"/>
      <c r="F84" s="49" t="n"/>
      <c r="G84" s="49" t="n"/>
      <c r="H84" s="32">
        <f>IFERROR(INDEX('Employee Database'!$K$3:$K$202,MATCH(B84,'Employee Database'!$A$3:$A$202,0)),0)</f>
        <v/>
      </c>
      <c r="I84" s="32">
        <f>ROUND(F84*H84,2)</f>
        <v/>
      </c>
      <c r="J84" s="32">
        <f>ROUND(G84*H84*1.5,2)</f>
        <v/>
      </c>
      <c r="K84" s="36">
        <f>SUM(F84:G84)</f>
        <v/>
      </c>
      <c r="L84" s="32">
        <f>SUM(I84:J84)</f>
        <v/>
      </c>
      <c r="M84" s="49" t="n"/>
      <c r="N84" s="49" t="n"/>
      <c r="O84" s="49" t="n"/>
    </row>
    <row r="85">
      <c r="A85" s="49" t="n"/>
      <c r="B85" s="49" t="n"/>
      <c r="C85" s="36">
        <f>IFERROR(INDEX('Employee Database'!$B$3:$B$202,MATCH(B85,'Employee Database'!$A$3:$A$202,0)),"")</f>
        <v/>
      </c>
      <c r="D85" s="50" t="n"/>
      <c r="E85" s="50" t="n"/>
      <c r="F85" s="49" t="n"/>
      <c r="G85" s="49" t="n"/>
      <c r="H85" s="32">
        <f>IFERROR(INDEX('Employee Database'!$K$3:$K$202,MATCH(B85,'Employee Database'!$A$3:$A$202,0)),0)</f>
        <v/>
      </c>
      <c r="I85" s="32">
        <f>ROUND(F85*H85,2)</f>
        <v/>
      </c>
      <c r="J85" s="32">
        <f>ROUND(G85*H85*1.5,2)</f>
        <v/>
      </c>
      <c r="K85" s="36">
        <f>SUM(F85:G85)</f>
        <v/>
      </c>
      <c r="L85" s="32">
        <f>SUM(I85:J85)</f>
        <v/>
      </c>
      <c r="M85" s="49" t="n"/>
      <c r="N85" s="49" t="n"/>
      <c r="O85" s="49" t="n"/>
    </row>
    <row r="86">
      <c r="A86" s="49" t="n"/>
      <c r="B86" s="49" t="n"/>
      <c r="C86" s="36">
        <f>IFERROR(INDEX('Employee Database'!$B$3:$B$202,MATCH(B86,'Employee Database'!$A$3:$A$202,0)),"")</f>
        <v/>
      </c>
      <c r="D86" s="50" t="n"/>
      <c r="E86" s="50" t="n"/>
      <c r="F86" s="49" t="n"/>
      <c r="G86" s="49" t="n"/>
      <c r="H86" s="32">
        <f>IFERROR(INDEX('Employee Database'!$K$3:$K$202,MATCH(B86,'Employee Database'!$A$3:$A$202,0)),0)</f>
        <v/>
      </c>
      <c r="I86" s="32">
        <f>ROUND(F86*H86,2)</f>
        <v/>
      </c>
      <c r="J86" s="32">
        <f>ROUND(G86*H86*1.5,2)</f>
        <v/>
      </c>
      <c r="K86" s="36">
        <f>SUM(F86:G86)</f>
        <v/>
      </c>
      <c r="L86" s="32">
        <f>SUM(I86:J86)</f>
        <v/>
      </c>
      <c r="M86" s="49" t="n"/>
      <c r="N86" s="49" t="n"/>
      <c r="O86" s="49" t="n"/>
    </row>
    <row r="87">
      <c r="A87" s="49" t="n"/>
      <c r="B87" s="49" t="n"/>
      <c r="C87" s="36">
        <f>IFERROR(INDEX('Employee Database'!$B$3:$B$202,MATCH(B87,'Employee Database'!$A$3:$A$202,0)),"")</f>
        <v/>
      </c>
      <c r="D87" s="50" t="n"/>
      <c r="E87" s="50" t="n"/>
      <c r="F87" s="49" t="n"/>
      <c r="G87" s="49" t="n"/>
      <c r="H87" s="32">
        <f>IFERROR(INDEX('Employee Database'!$K$3:$K$202,MATCH(B87,'Employee Database'!$A$3:$A$202,0)),0)</f>
        <v/>
      </c>
      <c r="I87" s="32">
        <f>ROUND(F87*H87,2)</f>
        <v/>
      </c>
      <c r="J87" s="32">
        <f>ROUND(G87*H87*1.5,2)</f>
        <v/>
      </c>
      <c r="K87" s="36">
        <f>SUM(F87:G87)</f>
        <v/>
      </c>
      <c r="L87" s="32">
        <f>SUM(I87:J87)</f>
        <v/>
      </c>
      <c r="M87" s="49" t="n"/>
      <c r="N87" s="49" t="n"/>
      <c r="O87" s="49" t="n"/>
    </row>
    <row r="88">
      <c r="A88" s="49" t="n"/>
      <c r="B88" s="49" t="n"/>
      <c r="C88" s="36">
        <f>IFERROR(INDEX('Employee Database'!$B$3:$B$202,MATCH(B88,'Employee Database'!$A$3:$A$202,0)),"")</f>
        <v/>
      </c>
      <c r="D88" s="50" t="n"/>
      <c r="E88" s="50" t="n"/>
      <c r="F88" s="49" t="n"/>
      <c r="G88" s="49" t="n"/>
      <c r="H88" s="32">
        <f>IFERROR(INDEX('Employee Database'!$K$3:$K$202,MATCH(B88,'Employee Database'!$A$3:$A$202,0)),0)</f>
        <v/>
      </c>
      <c r="I88" s="32">
        <f>ROUND(F88*H88,2)</f>
        <v/>
      </c>
      <c r="J88" s="32">
        <f>ROUND(G88*H88*1.5,2)</f>
        <v/>
      </c>
      <c r="K88" s="36">
        <f>SUM(F88:G88)</f>
        <v/>
      </c>
      <c r="L88" s="32">
        <f>SUM(I88:J88)</f>
        <v/>
      </c>
      <c r="M88" s="49" t="n"/>
      <c r="N88" s="49" t="n"/>
      <c r="O88" s="49" t="n"/>
    </row>
    <row r="89">
      <c r="A89" s="49" t="n"/>
      <c r="B89" s="49" t="n"/>
      <c r="C89" s="36">
        <f>IFERROR(INDEX('Employee Database'!$B$3:$B$202,MATCH(B89,'Employee Database'!$A$3:$A$202,0)),"")</f>
        <v/>
      </c>
      <c r="D89" s="50" t="n"/>
      <c r="E89" s="50" t="n"/>
      <c r="F89" s="49" t="n"/>
      <c r="G89" s="49" t="n"/>
      <c r="H89" s="32">
        <f>IFERROR(INDEX('Employee Database'!$K$3:$K$202,MATCH(B89,'Employee Database'!$A$3:$A$202,0)),0)</f>
        <v/>
      </c>
      <c r="I89" s="32">
        <f>ROUND(F89*H89,2)</f>
        <v/>
      </c>
      <c r="J89" s="32">
        <f>ROUND(G89*H89*1.5,2)</f>
        <v/>
      </c>
      <c r="K89" s="36">
        <f>SUM(F89:G89)</f>
        <v/>
      </c>
      <c r="L89" s="32">
        <f>SUM(I89:J89)</f>
        <v/>
      </c>
      <c r="M89" s="49" t="n"/>
      <c r="N89" s="49" t="n"/>
      <c r="O89" s="49" t="n"/>
    </row>
    <row r="90">
      <c r="A90" s="49" t="n"/>
      <c r="B90" s="49" t="n"/>
      <c r="C90" s="36">
        <f>IFERROR(INDEX('Employee Database'!$B$3:$B$202,MATCH(B90,'Employee Database'!$A$3:$A$202,0)),"")</f>
        <v/>
      </c>
      <c r="D90" s="50" t="n"/>
      <c r="E90" s="50" t="n"/>
      <c r="F90" s="49" t="n"/>
      <c r="G90" s="49" t="n"/>
      <c r="H90" s="32">
        <f>IFERROR(INDEX('Employee Database'!$K$3:$K$202,MATCH(B90,'Employee Database'!$A$3:$A$202,0)),0)</f>
        <v/>
      </c>
      <c r="I90" s="32">
        <f>ROUND(F90*H90,2)</f>
        <v/>
      </c>
      <c r="J90" s="32">
        <f>ROUND(G90*H90*1.5,2)</f>
        <v/>
      </c>
      <c r="K90" s="36">
        <f>SUM(F90:G90)</f>
        <v/>
      </c>
      <c r="L90" s="32">
        <f>SUM(I90:J90)</f>
        <v/>
      </c>
      <c r="M90" s="49" t="n"/>
      <c r="N90" s="49" t="n"/>
      <c r="O90" s="49" t="n"/>
    </row>
    <row r="91">
      <c r="A91" s="49" t="n"/>
      <c r="B91" s="49" t="n"/>
      <c r="C91" s="36">
        <f>IFERROR(INDEX('Employee Database'!$B$3:$B$202,MATCH(B91,'Employee Database'!$A$3:$A$202,0)),"")</f>
        <v/>
      </c>
      <c r="D91" s="50" t="n"/>
      <c r="E91" s="50" t="n"/>
      <c r="F91" s="49" t="n"/>
      <c r="G91" s="49" t="n"/>
      <c r="H91" s="32">
        <f>IFERROR(INDEX('Employee Database'!$K$3:$K$202,MATCH(B91,'Employee Database'!$A$3:$A$202,0)),0)</f>
        <v/>
      </c>
      <c r="I91" s="32">
        <f>ROUND(F91*H91,2)</f>
        <v/>
      </c>
      <c r="J91" s="32">
        <f>ROUND(G91*H91*1.5,2)</f>
        <v/>
      </c>
      <c r="K91" s="36">
        <f>SUM(F91:G91)</f>
        <v/>
      </c>
      <c r="L91" s="32">
        <f>SUM(I91:J91)</f>
        <v/>
      </c>
      <c r="M91" s="49" t="n"/>
      <c r="N91" s="49" t="n"/>
      <c r="O91" s="49" t="n"/>
    </row>
    <row r="92">
      <c r="A92" s="49" t="n"/>
      <c r="B92" s="49" t="n"/>
      <c r="C92" s="36">
        <f>IFERROR(INDEX('Employee Database'!$B$3:$B$202,MATCH(B92,'Employee Database'!$A$3:$A$202,0)),"")</f>
        <v/>
      </c>
      <c r="D92" s="50" t="n"/>
      <c r="E92" s="50" t="n"/>
      <c r="F92" s="49" t="n"/>
      <c r="G92" s="49" t="n"/>
      <c r="H92" s="32">
        <f>IFERROR(INDEX('Employee Database'!$K$3:$K$202,MATCH(B92,'Employee Database'!$A$3:$A$202,0)),0)</f>
        <v/>
      </c>
      <c r="I92" s="32">
        <f>ROUND(F92*H92,2)</f>
        <v/>
      </c>
      <c r="J92" s="32">
        <f>ROUND(G92*H92*1.5,2)</f>
        <v/>
      </c>
      <c r="K92" s="36">
        <f>SUM(F92:G92)</f>
        <v/>
      </c>
      <c r="L92" s="32">
        <f>SUM(I92:J92)</f>
        <v/>
      </c>
      <c r="M92" s="49" t="n"/>
      <c r="N92" s="49" t="n"/>
      <c r="O92" s="49" t="n"/>
    </row>
    <row r="93">
      <c r="A93" s="49" t="n"/>
      <c r="B93" s="49" t="n"/>
      <c r="C93" s="36">
        <f>IFERROR(INDEX('Employee Database'!$B$3:$B$202,MATCH(B93,'Employee Database'!$A$3:$A$202,0)),"")</f>
        <v/>
      </c>
      <c r="D93" s="50" t="n"/>
      <c r="E93" s="50" t="n"/>
      <c r="F93" s="49" t="n"/>
      <c r="G93" s="49" t="n"/>
      <c r="H93" s="32">
        <f>IFERROR(INDEX('Employee Database'!$K$3:$K$202,MATCH(B93,'Employee Database'!$A$3:$A$202,0)),0)</f>
        <v/>
      </c>
      <c r="I93" s="32">
        <f>ROUND(F93*H93,2)</f>
        <v/>
      </c>
      <c r="J93" s="32">
        <f>ROUND(G93*H93*1.5,2)</f>
        <v/>
      </c>
      <c r="K93" s="36">
        <f>SUM(F93:G93)</f>
        <v/>
      </c>
      <c r="L93" s="32">
        <f>SUM(I93:J93)</f>
        <v/>
      </c>
      <c r="M93" s="49" t="n"/>
      <c r="N93" s="49" t="n"/>
      <c r="O93" s="49" t="n"/>
    </row>
    <row r="94">
      <c r="A94" s="49" t="n"/>
      <c r="B94" s="49" t="n"/>
      <c r="C94" s="36">
        <f>IFERROR(INDEX('Employee Database'!$B$3:$B$202,MATCH(B94,'Employee Database'!$A$3:$A$202,0)),"")</f>
        <v/>
      </c>
      <c r="D94" s="50" t="n"/>
      <c r="E94" s="50" t="n"/>
      <c r="F94" s="49" t="n"/>
      <c r="G94" s="49" t="n"/>
      <c r="H94" s="32">
        <f>IFERROR(INDEX('Employee Database'!$K$3:$K$202,MATCH(B94,'Employee Database'!$A$3:$A$202,0)),0)</f>
        <v/>
      </c>
      <c r="I94" s="32">
        <f>ROUND(F94*H94,2)</f>
        <v/>
      </c>
      <c r="J94" s="32">
        <f>ROUND(G94*H94*1.5,2)</f>
        <v/>
      </c>
      <c r="K94" s="36">
        <f>SUM(F94:G94)</f>
        <v/>
      </c>
      <c r="L94" s="32">
        <f>SUM(I94:J94)</f>
        <v/>
      </c>
      <c r="M94" s="49" t="n"/>
      <c r="N94" s="49" t="n"/>
      <c r="O94" s="49" t="n"/>
    </row>
    <row r="95">
      <c r="A95" s="49" t="n"/>
      <c r="B95" s="49" t="n"/>
      <c r="C95" s="36">
        <f>IFERROR(INDEX('Employee Database'!$B$3:$B$202,MATCH(B95,'Employee Database'!$A$3:$A$202,0)),"")</f>
        <v/>
      </c>
      <c r="D95" s="50" t="n"/>
      <c r="E95" s="50" t="n"/>
      <c r="F95" s="49" t="n"/>
      <c r="G95" s="49" t="n"/>
      <c r="H95" s="32">
        <f>IFERROR(INDEX('Employee Database'!$K$3:$K$202,MATCH(B95,'Employee Database'!$A$3:$A$202,0)),0)</f>
        <v/>
      </c>
      <c r="I95" s="32">
        <f>ROUND(F95*H95,2)</f>
        <v/>
      </c>
      <c r="J95" s="32">
        <f>ROUND(G95*H95*1.5,2)</f>
        <v/>
      </c>
      <c r="K95" s="36">
        <f>SUM(F95:G95)</f>
        <v/>
      </c>
      <c r="L95" s="32">
        <f>SUM(I95:J95)</f>
        <v/>
      </c>
      <c r="M95" s="49" t="n"/>
      <c r="N95" s="49" t="n"/>
      <c r="O95" s="49" t="n"/>
    </row>
    <row r="96">
      <c r="A96" s="49" t="n"/>
      <c r="B96" s="49" t="n"/>
      <c r="C96" s="36">
        <f>IFERROR(INDEX('Employee Database'!$B$3:$B$202,MATCH(B96,'Employee Database'!$A$3:$A$202,0)),"")</f>
        <v/>
      </c>
      <c r="D96" s="50" t="n"/>
      <c r="E96" s="50" t="n"/>
      <c r="F96" s="49" t="n"/>
      <c r="G96" s="49" t="n"/>
      <c r="H96" s="32">
        <f>IFERROR(INDEX('Employee Database'!$K$3:$K$202,MATCH(B96,'Employee Database'!$A$3:$A$202,0)),0)</f>
        <v/>
      </c>
      <c r="I96" s="32">
        <f>ROUND(F96*H96,2)</f>
        <v/>
      </c>
      <c r="J96" s="32">
        <f>ROUND(G96*H96*1.5,2)</f>
        <v/>
      </c>
      <c r="K96" s="36">
        <f>SUM(F96:G96)</f>
        <v/>
      </c>
      <c r="L96" s="32">
        <f>SUM(I96:J96)</f>
        <v/>
      </c>
      <c r="M96" s="49" t="n"/>
      <c r="N96" s="49" t="n"/>
      <c r="O96" s="49" t="n"/>
    </row>
    <row r="97">
      <c r="A97" s="49" t="n"/>
      <c r="B97" s="49" t="n"/>
      <c r="C97" s="36">
        <f>IFERROR(INDEX('Employee Database'!$B$3:$B$202,MATCH(B97,'Employee Database'!$A$3:$A$202,0)),"")</f>
        <v/>
      </c>
      <c r="D97" s="50" t="n"/>
      <c r="E97" s="50" t="n"/>
      <c r="F97" s="49" t="n"/>
      <c r="G97" s="49" t="n"/>
      <c r="H97" s="32">
        <f>IFERROR(INDEX('Employee Database'!$K$3:$K$202,MATCH(B97,'Employee Database'!$A$3:$A$202,0)),0)</f>
        <v/>
      </c>
      <c r="I97" s="32">
        <f>ROUND(F97*H97,2)</f>
        <v/>
      </c>
      <c r="J97" s="32">
        <f>ROUND(G97*H97*1.5,2)</f>
        <v/>
      </c>
      <c r="K97" s="36">
        <f>SUM(F97:G97)</f>
        <v/>
      </c>
      <c r="L97" s="32">
        <f>SUM(I97:J97)</f>
        <v/>
      </c>
      <c r="M97" s="49" t="n"/>
      <c r="N97" s="49" t="n"/>
      <c r="O97" s="49" t="n"/>
    </row>
    <row r="98">
      <c r="A98" s="49" t="n"/>
      <c r="B98" s="49" t="n"/>
      <c r="C98" s="36">
        <f>IFERROR(INDEX('Employee Database'!$B$3:$B$202,MATCH(B98,'Employee Database'!$A$3:$A$202,0)),"")</f>
        <v/>
      </c>
      <c r="D98" s="50" t="n"/>
      <c r="E98" s="50" t="n"/>
      <c r="F98" s="49" t="n"/>
      <c r="G98" s="49" t="n"/>
      <c r="H98" s="32">
        <f>IFERROR(INDEX('Employee Database'!$K$3:$K$202,MATCH(B98,'Employee Database'!$A$3:$A$202,0)),0)</f>
        <v/>
      </c>
      <c r="I98" s="32">
        <f>ROUND(F98*H98,2)</f>
        <v/>
      </c>
      <c r="J98" s="32">
        <f>ROUND(G98*H98*1.5,2)</f>
        <v/>
      </c>
      <c r="K98" s="36">
        <f>SUM(F98:G98)</f>
        <v/>
      </c>
      <c r="L98" s="32">
        <f>SUM(I98:J98)</f>
        <v/>
      </c>
      <c r="M98" s="49" t="n"/>
      <c r="N98" s="49" t="n"/>
      <c r="O98" s="49" t="n"/>
    </row>
    <row r="99">
      <c r="A99" s="49" t="n"/>
      <c r="B99" s="49" t="n"/>
      <c r="C99" s="36">
        <f>IFERROR(INDEX('Employee Database'!$B$3:$B$202,MATCH(B99,'Employee Database'!$A$3:$A$202,0)),"")</f>
        <v/>
      </c>
      <c r="D99" s="50" t="n"/>
      <c r="E99" s="50" t="n"/>
      <c r="F99" s="49" t="n"/>
      <c r="G99" s="49" t="n"/>
      <c r="H99" s="32">
        <f>IFERROR(INDEX('Employee Database'!$K$3:$K$202,MATCH(B99,'Employee Database'!$A$3:$A$202,0)),0)</f>
        <v/>
      </c>
      <c r="I99" s="32">
        <f>ROUND(F99*H99,2)</f>
        <v/>
      </c>
      <c r="J99" s="32">
        <f>ROUND(G99*H99*1.5,2)</f>
        <v/>
      </c>
      <c r="K99" s="36">
        <f>SUM(F99:G99)</f>
        <v/>
      </c>
      <c r="L99" s="32">
        <f>SUM(I99:J99)</f>
        <v/>
      </c>
      <c r="M99" s="49" t="n"/>
      <c r="N99" s="49" t="n"/>
      <c r="O99" s="49" t="n"/>
    </row>
    <row r="100">
      <c r="A100" s="49" t="n"/>
      <c r="B100" s="49" t="n"/>
      <c r="C100" s="36">
        <f>IFERROR(INDEX('Employee Database'!$B$3:$B$202,MATCH(B100,'Employee Database'!$A$3:$A$202,0)),"")</f>
        <v/>
      </c>
      <c r="D100" s="50" t="n"/>
      <c r="E100" s="50" t="n"/>
      <c r="F100" s="49" t="n"/>
      <c r="G100" s="49" t="n"/>
      <c r="H100" s="32">
        <f>IFERROR(INDEX('Employee Database'!$K$3:$K$202,MATCH(B100,'Employee Database'!$A$3:$A$202,0)),0)</f>
        <v/>
      </c>
      <c r="I100" s="32">
        <f>ROUND(F100*H100,2)</f>
        <v/>
      </c>
      <c r="J100" s="32">
        <f>ROUND(G100*H100*1.5,2)</f>
        <v/>
      </c>
      <c r="K100" s="36">
        <f>SUM(F100:G100)</f>
        <v/>
      </c>
      <c r="L100" s="32">
        <f>SUM(I100:J100)</f>
        <v/>
      </c>
      <c r="M100" s="49" t="n"/>
      <c r="N100" s="49" t="n"/>
      <c r="O100" s="49" t="n"/>
    </row>
    <row r="101">
      <c r="A101" s="49" t="n"/>
      <c r="B101" s="49" t="n"/>
      <c r="C101" s="36">
        <f>IFERROR(INDEX('Employee Database'!$B$3:$B$202,MATCH(B101,'Employee Database'!$A$3:$A$202,0)),"")</f>
        <v/>
      </c>
      <c r="D101" s="50" t="n"/>
      <c r="E101" s="50" t="n"/>
      <c r="F101" s="49" t="n"/>
      <c r="G101" s="49" t="n"/>
      <c r="H101" s="32">
        <f>IFERROR(INDEX('Employee Database'!$K$3:$K$202,MATCH(B101,'Employee Database'!$A$3:$A$202,0)),0)</f>
        <v/>
      </c>
      <c r="I101" s="32">
        <f>ROUND(F101*H101,2)</f>
        <v/>
      </c>
      <c r="J101" s="32">
        <f>ROUND(G101*H101*1.5,2)</f>
        <v/>
      </c>
      <c r="K101" s="36">
        <f>SUM(F101:G101)</f>
        <v/>
      </c>
      <c r="L101" s="32">
        <f>SUM(I101:J101)</f>
        <v/>
      </c>
      <c r="M101" s="49" t="n"/>
      <c r="N101" s="49" t="n"/>
      <c r="O101" s="49" t="n"/>
    </row>
    <row r="102">
      <c r="A102" s="49" t="n"/>
      <c r="B102" s="49" t="n"/>
      <c r="C102" s="36">
        <f>IFERROR(INDEX('Employee Database'!$B$3:$B$202,MATCH(B102,'Employee Database'!$A$3:$A$202,0)),"")</f>
        <v/>
      </c>
      <c r="D102" s="50" t="n"/>
      <c r="E102" s="50" t="n"/>
      <c r="F102" s="49" t="n"/>
      <c r="G102" s="49" t="n"/>
      <c r="H102" s="32">
        <f>IFERROR(INDEX('Employee Database'!$K$3:$K$202,MATCH(B102,'Employee Database'!$A$3:$A$202,0)),0)</f>
        <v/>
      </c>
      <c r="I102" s="32">
        <f>ROUND(F102*H102,2)</f>
        <v/>
      </c>
      <c r="J102" s="32">
        <f>ROUND(G102*H102*1.5,2)</f>
        <v/>
      </c>
      <c r="K102" s="36">
        <f>SUM(F102:G102)</f>
        <v/>
      </c>
      <c r="L102" s="32">
        <f>SUM(I102:J102)</f>
        <v/>
      </c>
      <c r="M102" s="49" t="n"/>
      <c r="N102" s="49" t="n"/>
      <c r="O102" s="49" t="n"/>
    </row>
    <row r="103">
      <c r="A103" s="49" t="n"/>
      <c r="B103" s="49" t="n"/>
      <c r="C103" s="36">
        <f>IFERROR(INDEX('Employee Database'!$B$3:$B$202,MATCH(B103,'Employee Database'!$A$3:$A$202,0)),"")</f>
        <v/>
      </c>
      <c r="D103" s="50" t="n"/>
      <c r="E103" s="50" t="n"/>
      <c r="F103" s="49" t="n"/>
      <c r="G103" s="49" t="n"/>
      <c r="H103" s="32">
        <f>IFERROR(INDEX('Employee Database'!$K$3:$K$202,MATCH(B103,'Employee Database'!$A$3:$A$202,0)),0)</f>
        <v/>
      </c>
      <c r="I103" s="32">
        <f>ROUND(F103*H103,2)</f>
        <v/>
      </c>
      <c r="J103" s="32">
        <f>ROUND(G103*H103*1.5,2)</f>
        <v/>
      </c>
      <c r="K103" s="36">
        <f>SUM(F103:G103)</f>
        <v/>
      </c>
      <c r="L103" s="32">
        <f>SUM(I103:J103)</f>
        <v/>
      </c>
      <c r="M103" s="49" t="n"/>
      <c r="N103" s="49" t="n"/>
      <c r="O103" s="49" t="n"/>
    </row>
    <row r="104">
      <c r="A104" s="49" t="n"/>
      <c r="B104" s="49" t="n"/>
      <c r="C104" s="36">
        <f>IFERROR(INDEX('Employee Database'!$B$3:$B$202,MATCH(B104,'Employee Database'!$A$3:$A$202,0)),"")</f>
        <v/>
      </c>
      <c r="D104" s="50" t="n"/>
      <c r="E104" s="50" t="n"/>
      <c r="F104" s="49" t="n"/>
      <c r="G104" s="49" t="n"/>
      <c r="H104" s="32">
        <f>IFERROR(INDEX('Employee Database'!$K$3:$K$202,MATCH(B104,'Employee Database'!$A$3:$A$202,0)),0)</f>
        <v/>
      </c>
      <c r="I104" s="32">
        <f>ROUND(F104*H104,2)</f>
        <v/>
      </c>
      <c r="J104" s="32">
        <f>ROUND(G104*H104*1.5,2)</f>
        <v/>
      </c>
      <c r="K104" s="36">
        <f>SUM(F104:G104)</f>
        <v/>
      </c>
      <c r="L104" s="32">
        <f>SUM(I104:J104)</f>
        <v/>
      </c>
      <c r="M104" s="49" t="n"/>
      <c r="N104" s="49" t="n"/>
      <c r="O104" s="49" t="n"/>
    </row>
    <row r="105">
      <c r="A105" s="49" t="n"/>
      <c r="B105" s="49" t="n"/>
      <c r="C105" s="36">
        <f>IFERROR(INDEX('Employee Database'!$B$3:$B$202,MATCH(B105,'Employee Database'!$A$3:$A$202,0)),"")</f>
        <v/>
      </c>
      <c r="D105" s="50" t="n"/>
      <c r="E105" s="50" t="n"/>
      <c r="F105" s="49" t="n"/>
      <c r="G105" s="49" t="n"/>
      <c r="H105" s="32">
        <f>IFERROR(INDEX('Employee Database'!$K$3:$K$202,MATCH(B105,'Employee Database'!$A$3:$A$202,0)),0)</f>
        <v/>
      </c>
      <c r="I105" s="32">
        <f>ROUND(F105*H105,2)</f>
        <v/>
      </c>
      <c r="J105" s="32">
        <f>ROUND(G105*H105*1.5,2)</f>
        <v/>
      </c>
      <c r="K105" s="36">
        <f>SUM(F105:G105)</f>
        <v/>
      </c>
      <c r="L105" s="32">
        <f>SUM(I105:J105)</f>
        <v/>
      </c>
      <c r="M105" s="49" t="n"/>
      <c r="N105" s="49" t="n"/>
      <c r="O105" s="49" t="n"/>
    </row>
    <row r="106">
      <c r="A106" s="49" t="n"/>
      <c r="B106" s="49" t="n"/>
      <c r="C106" s="36">
        <f>IFERROR(INDEX('Employee Database'!$B$3:$B$202,MATCH(B106,'Employee Database'!$A$3:$A$202,0)),"")</f>
        <v/>
      </c>
      <c r="D106" s="50" t="n"/>
      <c r="E106" s="50" t="n"/>
      <c r="F106" s="49" t="n"/>
      <c r="G106" s="49" t="n"/>
      <c r="H106" s="32">
        <f>IFERROR(INDEX('Employee Database'!$K$3:$K$202,MATCH(B106,'Employee Database'!$A$3:$A$202,0)),0)</f>
        <v/>
      </c>
      <c r="I106" s="32">
        <f>ROUND(F106*H106,2)</f>
        <v/>
      </c>
      <c r="J106" s="32">
        <f>ROUND(G106*H106*1.5,2)</f>
        <v/>
      </c>
      <c r="K106" s="36">
        <f>SUM(F106:G106)</f>
        <v/>
      </c>
      <c r="L106" s="32">
        <f>SUM(I106:J106)</f>
        <v/>
      </c>
      <c r="M106" s="49" t="n"/>
      <c r="N106" s="49" t="n"/>
      <c r="O106" s="49" t="n"/>
    </row>
    <row r="107">
      <c r="A107" s="49" t="n"/>
      <c r="B107" s="49" t="n"/>
      <c r="C107" s="36">
        <f>IFERROR(INDEX('Employee Database'!$B$3:$B$202,MATCH(B107,'Employee Database'!$A$3:$A$202,0)),"")</f>
        <v/>
      </c>
      <c r="D107" s="50" t="n"/>
      <c r="E107" s="50" t="n"/>
      <c r="F107" s="49" t="n"/>
      <c r="G107" s="49" t="n"/>
      <c r="H107" s="32">
        <f>IFERROR(INDEX('Employee Database'!$K$3:$K$202,MATCH(B107,'Employee Database'!$A$3:$A$202,0)),0)</f>
        <v/>
      </c>
      <c r="I107" s="32">
        <f>ROUND(F107*H107,2)</f>
        <v/>
      </c>
      <c r="J107" s="32">
        <f>ROUND(G107*H107*1.5,2)</f>
        <v/>
      </c>
      <c r="K107" s="36">
        <f>SUM(F107:G107)</f>
        <v/>
      </c>
      <c r="L107" s="32">
        <f>SUM(I107:J107)</f>
        <v/>
      </c>
      <c r="M107" s="49" t="n"/>
      <c r="N107" s="49" t="n"/>
      <c r="O107" s="49" t="n"/>
    </row>
    <row r="108">
      <c r="A108" s="49" t="n"/>
      <c r="B108" s="49" t="n"/>
      <c r="C108" s="36">
        <f>IFERROR(INDEX('Employee Database'!$B$3:$B$202,MATCH(B108,'Employee Database'!$A$3:$A$202,0)),"")</f>
        <v/>
      </c>
      <c r="D108" s="50" t="n"/>
      <c r="E108" s="50" t="n"/>
      <c r="F108" s="49" t="n"/>
      <c r="G108" s="49" t="n"/>
      <c r="H108" s="32">
        <f>IFERROR(INDEX('Employee Database'!$K$3:$K$202,MATCH(B108,'Employee Database'!$A$3:$A$202,0)),0)</f>
        <v/>
      </c>
      <c r="I108" s="32">
        <f>ROUND(F108*H108,2)</f>
        <v/>
      </c>
      <c r="J108" s="32">
        <f>ROUND(G108*H108*1.5,2)</f>
        <v/>
      </c>
      <c r="K108" s="36">
        <f>SUM(F108:G108)</f>
        <v/>
      </c>
      <c r="L108" s="32">
        <f>SUM(I108:J108)</f>
        <v/>
      </c>
      <c r="M108" s="49" t="n"/>
      <c r="N108" s="49" t="n"/>
      <c r="O108" s="49" t="n"/>
    </row>
    <row r="109">
      <c r="A109" s="49" t="n"/>
      <c r="B109" s="49" t="n"/>
      <c r="C109" s="36">
        <f>IFERROR(INDEX('Employee Database'!$B$3:$B$202,MATCH(B109,'Employee Database'!$A$3:$A$202,0)),"")</f>
        <v/>
      </c>
      <c r="D109" s="50" t="n"/>
      <c r="E109" s="50" t="n"/>
      <c r="F109" s="49" t="n"/>
      <c r="G109" s="49" t="n"/>
      <c r="H109" s="32">
        <f>IFERROR(INDEX('Employee Database'!$K$3:$K$202,MATCH(B109,'Employee Database'!$A$3:$A$202,0)),0)</f>
        <v/>
      </c>
      <c r="I109" s="32">
        <f>ROUND(F109*H109,2)</f>
        <v/>
      </c>
      <c r="J109" s="32">
        <f>ROUND(G109*H109*1.5,2)</f>
        <v/>
      </c>
      <c r="K109" s="36">
        <f>SUM(F109:G109)</f>
        <v/>
      </c>
      <c r="L109" s="32">
        <f>SUM(I109:J109)</f>
        <v/>
      </c>
      <c r="M109" s="49" t="n"/>
      <c r="N109" s="49" t="n"/>
      <c r="O109" s="49" t="n"/>
    </row>
    <row r="110">
      <c r="A110" s="49" t="n"/>
      <c r="B110" s="49" t="n"/>
      <c r="C110" s="36">
        <f>IFERROR(INDEX('Employee Database'!$B$3:$B$202,MATCH(B110,'Employee Database'!$A$3:$A$202,0)),"")</f>
        <v/>
      </c>
      <c r="D110" s="50" t="n"/>
      <c r="E110" s="50" t="n"/>
      <c r="F110" s="49" t="n"/>
      <c r="G110" s="49" t="n"/>
      <c r="H110" s="32">
        <f>IFERROR(INDEX('Employee Database'!$K$3:$K$202,MATCH(B110,'Employee Database'!$A$3:$A$202,0)),0)</f>
        <v/>
      </c>
      <c r="I110" s="32">
        <f>ROUND(F110*H110,2)</f>
        <v/>
      </c>
      <c r="J110" s="32">
        <f>ROUND(G110*H110*1.5,2)</f>
        <v/>
      </c>
      <c r="K110" s="36">
        <f>SUM(F110:G110)</f>
        <v/>
      </c>
      <c r="L110" s="32">
        <f>SUM(I110:J110)</f>
        <v/>
      </c>
      <c r="M110" s="49" t="n"/>
      <c r="N110" s="49" t="n"/>
      <c r="O110" s="49" t="n"/>
    </row>
    <row r="111">
      <c r="A111" s="49" t="n"/>
      <c r="B111" s="49" t="n"/>
      <c r="C111" s="36">
        <f>IFERROR(INDEX('Employee Database'!$B$3:$B$202,MATCH(B111,'Employee Database'!$A$3:$A$202,0)),"")</f>
        <v/>
      </c>
      <c r="D111" s="50" t="n"/>
      <c r="E111" s="50" t="n"/>
      <c r="F111" s="49" t="n"/>
      <c r="G111" s="49" t="n"/>
      <c r="H111" s="32">
        <f>IFERROR(INDEX('Employee Database'!$K$3:$K$202,MATCH(B111,'Employee Database'!$A$3:$A$202,0)),0)</f>
        <v/>
      </c>
      <c r="I111" s="32">
        <f>ROUND(F111*H111,2)</f>
        <v/>
      </c>
      <c r="J111" s="32">
        <f>ROUND(G111*H111*1.5,2)</f>
        <v/>
      </c>
      <c r="K111" s="36">
        <f>SUM(F111:G111)</f>
        <v/>
      </c>
      <c r="L111" s="32">
        <f>SUM(I111:J111)</f>
        <v/>
      </c>
      <c r="M111" s="49" t="n"/>
      <c r="N111" s="49" t="n"/>
      <c r="O111" s="49" t="n"/>
    </row>
    <row r="112">
      <c r="A112" s="49" t="n"/>
      <c r="B112" s="49" t="n"/>
      <c r="C112" s="36">
        <f>IFERROR(INDEX('Employee Database'!$B$3:$B$202,MATCH(B112,'Employee Database'!$A$3:$A$202,0)),"")</f>
        <v/>
      </c>
      <c r="D112" s="50" t="n"/>
      <c r="E112" s="50" t="n"/>
      <c r="F112" s="49" t="n"/>
      <c r="G112" s="49" t="n"/>
      <c r="H112" s="32">
        <f>IFERROR(INDEX('Employee Database'!$K$3:$K$202,MATCH(B112,'Employee Database'!$A$3:$A$202,0)),0)</f>
        <v/>
      </c>
      <c r="I112" s="32">
        <f>ROUND(F112*H112,2)</f>
        <v/>
      </c>
      <c r="J112" s="32">
        <f>ROUND(G112*H112*1.5,2)</f>
        <v/>
      </c>
      <c r="K112" s="36">
        <f>SUM(F112:G112)</f>
        <v/>
      </c>
      <c r="L112" s="32">
        <f>SUM(I112:J112)</f>
        <v/>
      </c>
      <c r="M112" s="49" t="n"/>
      <c r="N112" s="49" t="n"/>
      <c r="O112" s="49" t="n"/>
    </row>
    <row r="113">
      <c r="A113" s="49" t="n"/>
      <c r="B113" s="49" t="n"/>
      <c r="C113" s="36">
        <f>IFERROR(INDEX('Employee Database'!$B$3:$B$202,MATCH(B113,'Employee Database'!$A$3:$A$202,0)),"")</f>
        <v/>
      </c>
      <c r="D113" s="50" t="n"/>
      <c r="E113" s="50" t="n"/>
      <c r="F113" s="49" t="n"/>
      <c r="G113" s="49" t="n"/>
      <c r="H113" s="32">
        <f>IFERROR(INDEX('Employee Database'!$K$3:$K$202,MATCH(B113,'Employee Database'!$A$3:$A$202,0)),0)</f>
        <v/>
      </c>
      <c r="I113" s="32">
        <f>ROUND(F113*H113,2)</f>
        <v/>
      </c>
      <c r="J113" s="32">
        <f>ROUND(G113*H113*1.5,2)</f>
        <v/>
      </c>
      <c r="K113" s="36">
        <f>SUM(F113:G113)</f>
        <v/>
      </c>
      <c r="L113" s="32">
        <f>SUM(I113:J113)</f>
        <v/>
      </c>
      <c r="M113" s="49" t="n"/>
      <c r="N113" s="49" t="n"/>
      <c r="O113" s="49" t="n"/>
    </row>
    <row r="114">
      <c r="A114" s="49" t="n"/>
      <c r="B114" s="49" t="n"/>
      <c r="C114" s="36">
        <f>IFERROR(INDEX('Employee Database'!$B$3:$B$202,MATCH(B114,'Employee Database'!$A$3:$A$202,0)),"")</f>
        <v/>
      </c>
      <c r="D114" s="50" t="n"/>
      <c r="E114" s="50" t="n"/>
      <c r="F114" s="49" t="n"/>
      <c r="G114" s="49" t="n"/>
      <c r="H114" s="32">
        <f>IFERROR(INDEX('Employee Database'!$K$3:$K$202,MATCH(B114,'Employee Database'!$A$3:$A$202,0)),0)</f>
        <v/>
      </c>
      <c r="I114" s="32">
        <f>ROUND(F114*H114,2)</f>
        <v/>
      </c>
      <c r="J114" s="32">
        <f>ROUND(G114*H114*1.5,2)</f>
        <v/>
      </c>
      <c r="K114" s="36">
        <f>SUM(F114:G114)</f>
        <v/>
      </c>
      <c r="L114" s="32">
        <f>SUM(I114:J114)</f>
        <v/>
      </c>
      <c r="M114" s="49" t="n"/>
      <c r="N114" s="49" t="n"/>
      <c r="O114" s="49" t="n"/>
    </row>
    <row r="115">
      <c r="A115" s="49" t="n"/>
      <c r="B115" s="49" t="n"/>
      <c r="C115" s="36">
        <f>IFERROR(INDEX('Employee Database'!$B$3:$B$202,MATCH(B115,'Employee Database'!$A$3:$A$202,0)),"")</f>
        <v/>
      </c>
      <c r="D115" s="50" t="n"/>
      <c r="E115" s="50" t="n"/>
      <c r="F115" s="49" t="n"/>
      <c r="G115" s="49" t="n"/>
      <c r="H115" s="32">
        <f>IFERROR(INDEX('Employee Database'!$K$3:$K$202,MATCH(B115,'Employee Database'!$A$3:$A$202,0)),0)</f>
        <v/>
      </c>
      <c r="I115" s="32">
        <f>ROUND(F115*H115,2)</f>
        <v/>
      </c>
      <c r="J115" s="32">
        <f>ROUND(G115*H115*1.5,2)</f>
        <v/>
      </c>
      <c r="K115" s="36">
        <f>SUM(F115:G115)</f>
        <v/>
      </c>
      <c r="L115" s="32">
        <f>SUM(I115:J115)</f>
        <v/>
      </c>
      <c r="M115" s="49" t="n"/>
      <c r="N115" s="49" t="n"/>
      <c r="O115" s="49" t="n"/>
    </row>
    <row r="116">
      <c r="A116" s="49" t="n"/>
      <c r="B116" s="49" t="n"/>
      <c r="C116" s="36">
        <f>IFERROR(INDEX('Employee Database'!$B$3:$B$202,MATCH(B116,'Employee Database'!$A$3:$A$202,0)),"")</f>
        <v/>
      </c>
      <c r="D116" s="50" t="n"/>
      <c r="E116" s="50" t="n"/>
      <c r="F116" s="49" t="n"/>
      <c r="G116" s="49" t="n"/>
      <c r="H116" s="32">
        <f>IFERROR(INDEX('Employee Database'!$K$3:$K$202,MATCH(B116,'Employee Database'!$A$3:$A$202,0)),0)</f>
        <v/>
      </c>
      <c r="I116" s="32">
        <f>ROUND(F116*H116,2)</f>
        <v/>
      </c>
      <c r="J116" s="32">
        <f>ROUND(G116*H116*1.5,2)</f>
        <v/>
      </c>
      <c r="K116" s="36">
        <f>SUM(F116:G116)</f>
        <v/>
      </c>
      <c r="L116" s="32">
        <f>SUM(I116:J116)</f>
        <v/>
      </c>
      <c r="M116" s="49" t="n"/>
      <c r="N116" s="49" t="n"/>
      <c r="O116" s="49" t="n"/>
    </row>
    <row r="117">
      <c r="A117" s="49" t="n"/>
      <c r="B117" s="49" t="n"/>
      <c r="C117" s="36">
        <f>IFERROR(INDEX('Employee Database'!$B$3:$B$202,MATCH(B117,'Employee Database'!$A$3:$A$202,0)),"")</f>
        <v/>
      </c>
      <c r="D117" s="50" t="n"/>
      <c r="E117" s="50" t="n"/>
      <c r="F117" s="49" t="n"/>
      <c r="G117" s="49" t="n"/>
      <c r="H117" s="32">
        <f>IFERROR(INDEX('Employee Database'!$K$3:$K$202,MATCH(B117,'Employee Database'!$A$3:$A$202,0)),0)</f>
        <v/>
      </c>
      <c r="I117" s="32">
        <f>ROUND(F117*H117,2)</f>
        <v/>
      </c>
      <c r="J117" s="32">
        <f>ROUND(G117*H117*1.5,2)</f>
        <v/>
      </c>
      <c r="K117" s="36">
        <f>SUM(F117:G117)</f>
        <v/>
      </c>
      <c r="L117" s="32">
        <f>SUM(I117:J117)</f>
        <v/>
      </c>
      <c r="M117" s="49" t="n"/>
      <c r="N117" s="49" t="n"/>
      <c r="O117" s="49" t="n"/>
    </row>
    <row r="118">
      <c r="A118" s="49" t="n"/>
      <c r="B118" s="49" t="n"/>
      <c r="C118" s="36">
        <f>IFERROR(INDEX('Employee Database'!$B$3:$B$202,MATCH(B118,'Employee Database'!$A$3:$A$202,0)),"")</f>
        <v/>
      </c>
      <c r="D118" s="50" t="n"/>
      <c r="E118" s="50" t="n"/>
      <c r="F118" s="49" t="n"/>
      <c r="G118" s="49" t="n"/>
      <c r="H118" s="32">
        <f>IFERROR(INDEX('Employee Database'!$K$3:$K$202,MATCH(B118,'Employee Database'!$A$3:$A$202,0)),0)</f>
        <v/>
      </c>
      <c r="I118" s="32">
        <f>ROUND(F118*H118,2)</f>
        <v/>
      </c>
      <c r="J118" s="32">
        <f>ROUND(G118*H118*1.5,2)</f>
        <v/>
      </c>
      <c r="K118" s="36">
        <f>SUM(F118:G118)</f>
        <v/>
      </c>
      <c r="L118" s="32">
        <f>SUM(I118:J118)</f>
        <v/>
      </c>
      <c r="M118" s="49" t="n"/>
      <c r="N118" s="49" t="n"/>
      <c r="O118" s="49" t="n"/>
    </row>
    <row r="119">
      <c r="A119" s="49" t="n"/>
      <c r="B119" s="49" t="n"/>
      <c r="C119" s="36">
        <f>IFERROR(INDEX('Employee Database'!$B$3:$B$202,MATCH(B119,'Employee Database'!$A$3:$A$202,0)),"")</f>
        <v/>
      </c>
      <c r="D119" s="50" t="n"/>
      <c r="E119" s="50" t="n"/>
      <c r="F119" s="49" t="n"/>
      <c r="G119" s="49" t="n"/>
      <c r="H119" s="32">
        <f>IFERROR(INDEX('Employee Database'!$K$3:$K$202,MATCH(B119,'Employee Database'!$A$3:$A$202,0)),0)</f>
        <v/>
      </c>
      <c r="I119" s="32">
        <f>ROUND(F119*H119,2)</f>
        <v/>
      </c>
      <c r="J119" s="32">
        <f>ROUND(G119*H119*1.5,2)</f>
        <v/>
      </c>
      <c r="K119" s="36">
        <f>SUM(F119:G119)</f>
        <v/>
      </c>
      <c r="L119" s="32">
        <f>SUM(I119:J119)</f>
        <v/>
      </c>
      <c r="M119" s="49" t="n"/>
      <c r="N119" s="49" t="n"/>
      <c r="O119" s="49" t="n"/>
    </row>
    <row r="120">
      <c r="A120" s="49" t="n"/>
      <c r="B120" s="49" t="n"/>
      <c r="C120" s="36">
        <f>IFERROR(INDEX('Employee Database'!$B$3:$B$202,MATCH(B120,'Employee Database'!$A$3:$A$202,0)),"")</f>
        <v/>
      </c>
      <c r="D120" s="50" t="n"/>
      <c r="E120" s="50" t="n"/>
      <c r="F120" s="49" t="n"/>
      <c r="G120" s="49" t="n"/>
      <c r="H120" s="32">
        <f>IFERROR(INDEX('Employee Database'!$K$3:$K$202,MATCH(B120,'Employee Database'!$A$3:$A$202,0)),0)</f>
        <v/>
      </c>
      <c r="I120" s="32">
        <f>ROUND(F120*H120,2)</f>
        <v/>
      </c>
      <c r="J120" s="32">
        <f>ROUND(G120*H120*1.5,2)</f>
        <v/>
      </c>
      <c r="K120" s="36">
        <f>SUM(F120:G120)</f>
        <v/>
      </c>
      <c r="L120" s="32">
        <f>SUM(I120:J120)</f>
        <v/>
      </c>
      <c r="M120" s="49" t="n"/>
      <c r="N120" s="49" t="n"/>
      <c r="O120" s="49" t="n"/>
    </row>
    <row r="121">
      <c r="A121" s="49" t="n"/>
      <c r="B121" s="49" t="n"/>
      <c r="C121" s="36">
        <f>IFERROR(INDEX('Employee Database'!$B$3:$B$202,MATCH(B121,'Employee Database'!$A$3:$A$202,0)),"")</f>
        <v/>
      </c>
      <c r="D121" s="50" t="n"/>
      <c r="E121" s="50" t="n"/>
      <c r="F121" s="49" t="n"/>
      <c r="G121" s="49" t="n"/>
      <c r="H121" s="32">
        <f>IFERROR(INDEX('Employee Database'!$K$3:$K$202,MATCH(B121,'Employee Database'!$A$3:$A$202,0)),0)</f>
        <v/>
      </c>
      <c r="I121" s="32">
        <f>ROUND(F121*H121,2)</f>
        <v/>
      </c>
      <c r="J121" s="32">
        <f>ROUND(G121*H121*1.5,2)</f>
        <v/>
      </c>
      <c r="K121" s="36">
        <f>SUM(F121:G121)</f>
        <v/>
      </c>
      <c r="L121" s="32">
        <f>SUM(I121:J121)</f>
        <v/>
      </c>
      <c r="M121" s="49" t="n"/>
      <c r="N121" s="49" t="n"/>
      <c r="O121" s="49" t="n"/>
    </row>
    <row r="122">
      <c r="A122" s="49" t="n"/>
      <c r="B122" s="49" t="n"/>
      <c r="C122" s="36">
        <f>IFERROR(INDEX('Employee Database'!$B$3:$B$202,MATCH(B122,'Employee Database'!$A$3:$A$202,0)),"")</f>
        <v/>
      </c>
      <c r="D122" s="50" t="n"/>
      <c r="E122" s="50" t="n"/>
      <c r="F122" s="49" t="n"/>
      <c r="G122" s="49" t="n"/>
      <c r="H122" s="32">
        <f>IFERROR(INDEX('Employee Database'!$K$3:$K$202,MATCH(B122,'Employee Database'!$A$3:$A$202,0)),0)</f>
        <v/>
      </c>
      <c r="I122" s="32">
        <f>ROUND(F122*H122,2)</f>
        <v/>
      </c>
      <c r="J122" s="32">
        <f>ROUND(G122*H122*1.5,2)</f>
        <v/>
      </c>
      <c r="K122" s="36">
        <f>SUM(F122:G122)</f>
        <v/>
      </c>
      <c r="L122" s="32">
        <f>SUM(I122:J122)</f>
        <v/>
      </c>
      <c r="M122" s="49" t="n"/>
      <c r="N122" s="49" t="n"/>
      <c r="O122" s="49" t="n"/>
    </row>
    <row r="123">
      <c r="A123" s="49" t="n"/>
      <c r="B123" s="49" t="n"/>
      <c r="C123" s="36">
        <f>IFERROR(INDEX('Employee Database'!$B$3:$B$202,MATCH(B123,'Employee Database'!$A$3:$A$202,0)),"")</f>
        <v/>
      </c>
      <c r="D123" s="50" t="n"/>
      <c r="E123" s="50" t="n"/>
      <c r="F123" s="49" t="n"/>
      <c r="G123" s="49" t="n"/>
      <c r="H123" s="32">
        <f>IFERROR(INDEX('Employee Database'!$K$3:$K$202,MATCH(B123,'Employee Database'!$A$3:$A$202,0)),0)</f>
        <v/>
      </c>
      <c r="I123" s="32">
        <f>ROUND(F123*H123,2)</f>
        <v/>
      </c>
      <c r="J123" s="32">
        <f>ROUND(G123*H123*1.5,2)</f>
        <v/>
      </c>
      <c r="K123" s="36">
        <f>SUM(F123:G123)</f>
        <v/>
      </c>
      <c r="L123" s="32">
        <f>SUM(I123:J123)</f>
        <v/>
      </c>
      <c r="M123" s="49" t="n"/>
      <c r="N123" s="49" t="n"/>
      <c r="O123" s="49" t="n"/>
    </row>
    <row r="124">
      <c r="A124" s="49" t="n"/>
      <c r="B124" s="49" t="n"/>
      <c r="C124" s="36">
        <f>IFERROR(INDEX('Employee Database'!$B$3:$B$202,MATCH(B124,'Employee Database'!$A$3:$A$202,0)),"")</f>
        <v/>
      </c>
      <c r="D124" s="50" t="n"/>
      <c r="E124" s="50" t="n"/>
      <c r="F124" s="49" t="n"/>
      <c r="G124" s="49" t="n"/>
      <c r="H124" s="32">
        <f>IFERROR(INDEX('Employee Database'!$K$3:$K$202,MATCH(B124,'Employee Database'!$A$3:$A$202,0)),0)</f>
        <v/>
      </c>
      <c r="I124" s="32">
        <f>ROUND(F124*H124,2)</f>
        <v/>
      </c>
      <c r="J124" s="32">
        <f>ROUND(G124*H124*1.5,2)</f>
        <v/>
      </c>
      <c r="K124" s="36">
        <f>SUM(F124:G124)</f>
        <v/>
      </c>
      <c r="L124" s="32">
        <f>SUM(I124:J124)</f>
        <v/>
      </c>
      <c r="M124" s="49" t="n"/>
      <c r="N124" s="49" t="n"/>
      <c r="O124" s="49" t="n"/>
    </row>
    <row r="125">
      <c r="A125" s="49" t="n"/>
      <c r="B125" s="49" t="n"/>
      <c r="C125" s="36">
        <f>IFERROR(INDEX('Employee Database'!$B$3:$B$202,MATCH(B125,'Employee Database'!$A$3:$A$202,0)),"")</f>
        <v/>
      </c>
      <c r="D125" s="50" t="n"/>
      <c r="E125" s="50" t="n"/>
      <c r="F125" s="49" t="n"/>
      <c r="G125" s="49" t="n"/>
      <c r="H125" s="32">
        <f>IFERROR(INDEX('Employee Database'!$K$3:$K$202,MATCH(B125,'Employee Database'!$A$3:$A$202,0)),0)</f>
        <v/>
      </c>
      <c r="I125" s="32">
        <f>ROUND(F125*H125,2)</f>
        <v/>
      </c>
      <c r="J125" s="32">
        <f>ROUND(G125*H125*1.5,2)</f>
        <v/>
      </c>
      <c r="K125" s="36">
        <f>SUM(F125:G125)</f>
        <v/>
      </c>
      <c r="L125" s="32">
        <f>SUM(I125:J125)</f>
        <v/>
      </c>
      <c r="M125" s="49" t="n"/>
      <c r="N125" s="49" t="n"/>
      <c r="O125" s="49" t="n"/>
    </row>
    <row r="126">
      <c r="A126" s="49" t="n"/>
      <c r="B126" s="49" t="n"/>
      <c r="C126" s="36">
        <f>IFERROR(INDEX('Employee Database'!$B$3:$B$202,MATCH(B126,'Employee Database'!$A$3:$A$202,0)),"")</f>
        <v/>
      </c>
      <c r="D126" s="50" t="n"/>
      <c r="E126" s="50" t="n"/>
      <c r="F126" s="49" t="n"/>
      <c r="G126" s="49" t="n"/>
      <c r="H126" s="32">
        <f>IFERROR(INDEX('Employee Database'!$K$3:$K$202,MATCH(B126,'Employee Database'!$A$3:$A$202,0)),0)</f>
        <v/>
      </c>
      <c r="I126" s="32">
        <f>ROUND(F126*H126,2)</f>
        <v/>
      </c>
      <c r="J126" s="32">
        <f>ROUND(G126*H126*1.5,2)</f>
        <v/>
      </c>
      <c r="K126" s="36">
        <f>SUM(F126:G126)</f>
        <v/>
      </c>
      <c r="L126" s="32">
        <f>SUM(I126:J126)</f>
        <v/>
      </c>
      <c r="M126" s="49" t="n"/>
      <c r="N126" s="49" t="n"/>
      <c r="O126" s="49" t="n"/>
    </row>
    <row r="127">
      <c r="A127" s="49" t="n"/>
      <c r="B127" s="49" t="n"/>
      <c r="C127" s="36">
        <f>IFERROR(INDEX('Employee Database'!$B$3:$B$202,MATCH(B127,'Employee Database'!$A$3:$A$202,0)),"")</f>
        <v/>
      </c>
      <c r="D127" s="50" t="n"/>
      <c r="E127" s="50" t="n"/>
      <c r="F127" s="49" t="n"/>
      <c r="G127" s="49" t="n"/>
      <c r="H127" s="32">
        <f>IFERROR(INDEX('Employee Database'!$K$3:$K$202,MATCH(B127,'Employee Database'!$A$3:$A$202,0)),0)</f>
        <v/>
      </c>
      <c r="I127" s="32">
        <f>ROUND(F127*H127,2)</f>
        <v/>
      </c>
      <c r="J127" s="32">
        <f>ROUND(G127*H127*1.5,2)</f>
        <v/>
      </c>
      <c r="K127" s="36">
        <f>SUM(F127:G127)</f>
        <v/>
      </c>
      <c r="L127" s="32">
        <f>SUM(I127:J127)</f>
        <v/>
      </c>
      <c r="M127" s="49" t="n"/>
      <c r="N127" s="49" t="n"/>
      <c r="O127" s="49" t="n"/>
    </row>
    <row r="128">
      <c r="A128" s="49" t="n"/>
      <c r="B128" s="49" t="n"/>
      <c r="C128" s="36">
        <f>IFERROR(INDEX('Employee Database'!$B$3:$B$202,MATCH(B128,'Employee Database'!$A$3:$A$202,0)),"")</f>
        <v/>
      </c>
      <c r="D128" s="50" t="n"/>
      <c r="E128" s="50" t="n"/>
      <c r="F128" s="49" t="n"/>
      <c r="G128" s="49" t="n"/>
      <c r="H128" s="32">
        <f>IFERROR(INDEX('Employee Database'!$K$3:$K$202,MATCH(B128,'Employee Database'!$A$3:$A$202,0)),0)</f>
        <v/>
      </c>
      <c r="I128" s="32">
        <f>ROUND(F128*H128,2)</f>
        <v/>
      </c>
      <c r="J128" s="32">
        <f>ROUND(G128*H128*1.5,2)</f>
        <v/>
      </c>
      <c r="K128" s="36">
        <f>SUM(F128:G128)</f>
        <v/>
      </c>
      <c r="L128" s="32">
        <f>SUM(I128:J128)</f>
        <v/>
      </c>
      <c r="M128" s="49" t="n"/>
      <c r="N128" s="49" t="n"/>
      <c r="O128" s="49" t="n"/>
    </row>
    <row r="129">
      <c r="A129" s="49" t="n"/>
      <c r="B129" s="49" t="n"/>
      <c r="C129" s="36">
        <f>IFERROR(INDEX('Employee Database'!$B$3:$B$202,MATCH(B129,'Employee Database'!$A$3:$A$202,0)),"")</f>
        <v/>
      </c>
      <c r="D129" s="50" t="n"/>
      <c r="E129" s="50" t="n"/>
      <c r="F129" s="49" t="n"/>
      <c r="G129" s="49" t="n"/>
      <c r="H129" s="32">
        <f>IFERROR(INDEX('Employee Database'!$K$3:$K$202,MATCH(B129,'Employee Database'!$A$3:$A$202,0)),0)</f>
        <v/>
      </c>
      <c r="I129" s="32">
        <f>ROUND(F129*H129,2)</f>
        <v/>
      </c>
      <c r="J129" s="32">
        <f>ROUND(G129*H129*1.5,2)</f>
        <v/>
      </c>
      <c r="K129" s="36">
        <f>SUM(F129:G129)</f>
        <v/>
      </c>
      <c r="L129" s="32">
        <f>SUM(I129:J129)</f>
        <v/>
      </c>
      <c r="M129" s="49" t="n"/>
      <c r="N129" s="49" t="n"/>
      <c r="O129" s="49" t="n"/>
    </row>
    <row r="130">
      <c r="A130" s="49" t="n"/>
      <c r="B130" s="49" t="n"/>
      <c r="C130" s="36">
        <f>IFERROR(INDEX('Employee Database'!$B$3:$B$202,MATCH(B130,'Employee Database'!$A$3:$A$202,0)),"")</f>
        <v/>
      </c>
      <c r="D130" s="50" t="n"/>
      <c r="E130" s="50" t="n"/>
      <c r="F130" s="49" t="n"/>
      <c r="G130" s="49" t="n"/>
      <c r="H130" s="32">
        <f>IFERROR(INDEX('Employee Database'!$K$3:$K$202,MATCH(B130,'Employee Database'!$A$3:$A$202,0)),0)</f>
        <v/>
      </c>
      <c r="I130" s="32">
        <f>ROUND(F130*H130,2)</f>
        <v/>
      </c>
      <c r="J130" s="32">
        <f>ROUND(G130*H130*1.5,2)</f>
        <v/>
      </c>
      <c r="K130" s="36">
        <f>SUM(F130:G130)</f>
        <v/>
      </c>
      <c r="L130" s="32">
        <f>SUM(I130:J130)</f>
        <v/>
      </c>
      <c r="M130" s="49" t="n"/>
      <c r="N130" s="49" t="n"/>
      <c r="O130" s="49" t="n"/>
    </row>
    <row r="131">
      <c r="A131" s="49" t="n"/>
      <c r="B131" s="49" t="n"/>
      <c r="C131" s="36">
        <f>IFERROR(INDEX('Employee Database'!$B$3:$B$202,MATCH(B131,'Employee Database'!$A$3:$A$202,0)),"")</f>
        <v/>
      </c>
      <c r="D131" s="50" t="n"/>
      <c r="E131" s="50" t="n"/>
      <c r="F131" s="49" t="n"/>
      <c r="G131" s="49" t="n"/>
      <c r="H131" s="32">
        <f>IFERROR(INDEX('Employee Database'!$K$3:$K$202,MATCH(B131,'Employee Database'!$A$3:$A$202,0)),0)</f>
        <v/>
      </c>
      <c r="I131" s="32">
        <f>ROUND(F131*H131,2)</f>
        <v/>
      </c>
      <c r="J131" s="32">
        <f>ROUND(G131*H131*1.5,2)</f>
        <v/>
      </c>
      <c r="K131" s="36">
        <f>SUM(F131:G131)</f>
        <v/>
      </c>
      <c r="L131" s="32">
        <f>SUM(I131:J131)</f>
        <v/>
      </c>
      <c r="M131" s="49" t="n"/>
      <c r="N131" s="49" t="n"/>
      <c r="O131" s="49" t="n"/>
    </row>
    <row r="132">
      <c r="A132" s="49" t="n"/>
      <c r="B132" s="49" t="n"/>
      <c r="C132" s="36">
        <f>IFERROR(INDEX('Employee Database'!$B$3:$B$202,MATCH(B132,'Employee Database'!$A$3:$A$202,0)),"")</f>
        <v/>
      </c>
      <c r="D132" s="50" t="n"/>
      <c r="E132" s="50" t="n"/>
      <c r="F132" s="49" t="n"/>
      <c r="G132" s="49" t="n"/>
      <c r="H132" s="32">
        <f>IFERROR(INDEX('Employee Database'!$K$3:$K$202,MATCH(B132,'Employee Database'!$A$3:$A$202,0)),0)</f>
        <v/>
      </c>
      <c r="I132" s="32">
        <f>ROUND(F132*H132,2)</f>
        <v/>
      </c>
      <c r="J132" s="32">
        <f>ROUND(G132*H132*1.5,2)</f>
        <v/>
      </c>
      <c r="K132" s="36">
        <f>SUM(F132:G132)</f>
        <v/>
      </c>
      <c r="L132" s="32">
        <f>SUM(I132:J132)</f>
        <v/>
      </c>
      <c r="M132" s="49" t="n"/>
      <c r="N132" s="49" t="n"/>
      <c r="O132" s="49" t="n"/>
    </row>
    <row r="133">
      <c r="A133" s="49" t="n"/>
      <c r="B133" s="49" t="n"/>
      <c r="C133" s="36">
        <f>IFERROR(INDEX('Employee Database'!$B$3:$B$202,MATCH(B133,'Employee Database'!$A$3:$A$202,0)),"")</f>
        <v/>
      </c>
      <c r="D133" s="50" t="n"/>
      <c r="E133" s="50" t="n"/>
      <c r="F133" s="49" t="n"/>
      <c r="G133" s="49" t="n"/>
      <c r="H133" s="32">
        <f>IFERROR(INDEX('Employee Database'!$K$3:$K$202,MATCH(B133,'Employee Database'!$A$3:$A$202,0)),0)</f>
        <v/>
      </c>
      <c r="I133" s="32">
        <f>ROUND(F133*H133,2)</f>
        <v/>
      </c>
      <c r="J133" s="32">
        <f>ROUND(G133*H133*1.5,2)</f>
        <v/>
      </c>
      <c r="K133" s="36">
        <f>SUM(F133:G133)</f>
        <v/>
      </c>
      <c r="L133" s="32">
        <f>SUM(I133:J133)</f>
        <v/>
      </c>
      <c r="M133" s="49" t="n"/>
      <c r="N133" s="49" t="n"/>
      <c r="O133" s="49" t="n"/>
    </row>
    <row r="134">
      <c r="A134" s="49" t="n"/>
      <c r="B134" s="49" t="n"/>
      <c r="C134" s="36">
        <f>IFERROR(INDEX('Employee Database'!$B$3:$B$202,MATCH(B134,'Employee Database'!$A$3:$A$202,0)),"")</f>
        <v/>
      </c>
      <c r="D134" s="50" t="n"/>
      <c r="E134" s="50" t="n"/>
      <c r="F134" s="49" t="n"/>
      <c r="G134" s="49" t="n"/>
      <c r="H134" s="32">
        <f>IFERROR(INDEX('Employee Database'!$K$3:$K$202,MATCH(B134,'Employee Database'!$A$3:$A$202,0)),0)</f>
        <v/>
      </c>
      <c r="I134" s="32">
        <f>ROUND(F134*H134,2)</f>
        <v/>
      </c>
      <c r="J134" s="32">
        <f>ROUND(G134*H134*1.5,2)</f>
        <v/>
      </c>
      <c r="K134" s="36">
        <f>SUM(F134:G134)</f>
        <v/>
      </c>
      <c r="L134" s="32">
        <f>SUM(I134:J134)</f>
        <v/>
      </c>
      <c r="M134" s="49" t="n"/>
      <c r="N134" s="49" t="n"/>
      <c r="O134" s="49" t="n"/>
    </row>
    <row r="135">
      <c r="A135" s="49" t="n"/>
      <c r="B135" s="49" t="n"/>
      <c r="C135" s="36">
        <f>IFERROR(INDEX('Employee Database'!$B$3:$B$202,MATCH(B135,'Employee Database'!$A$3:$A$202,0)),"")</f>
        <v/>
      </c>
      <c r="D135" s="50" t="n"/>
      <c r="E135" s="50" t="n"/>
      <c r="F135" s="49" t="n"/>
      <c r="G135" s="49" t="n"/>
      <c r="H135" s="32">
        <f>IFERROR(INDEX('Employee Database'!$K$3:$K$202,MATCH(B135,'Employee Database'!$A$3:$A$202,0)),0)</f>
        <v/>
      </c>
      <c r="I135" s="32">
        <f>ROUND(F135*H135,2)</f>
        <v/>
      </c>
      <c r="J135" s="32">
        <f>ROUND(G135*H135*1.5,2)</f>
        <v/>
      </c>
      <c r="K135" s="36">
        <f>SUM(F135:G135)</f>
        <v/>
      </c>
      <c r="L135" s="32">
        <f>SUM(I135:J135)</f>
        <v/>
      </c>
      <c r="M135" s="49" t="n"/>
      <c r="N135" s="49" t="n"/>
      <c r="O135" s="49" t="n"/>
    </row>
    <row r="136">
      <c r="A136" s="49" t="n"/>
      <c r="B136" s="49" t="n"/>
      <c r="C136" s="36">
        <f>IFERROR(INDEX('Employee Database'!$B$3:$B$202,MATCH(B136,'Employee Database'!$A$3:$A$202,0)),"")</f>
        <v/>
      </c>
      <c r="D136" s="50" t="n"/>
      <c r="E136" s="50" t="n"/>
      <c r="F136" s="49" t="n"/>
      <c r="G136" s="49" t="n"/>
      <c r="H136" s="32">
        <f>IFERROR(INDEX('Employee Database'!$K$3:$K$202,MATCH(B136,'Employee Database'!$A$3:$A$202,0)),0)</f>
        <v/>
      </c>
      <c r="I136" s="32">
        <f>ROUND(F136*H136,2)</f>
        <v/>
      </c>
      <c r="J136" s="32">
        <f>ROUND(G136*H136*1.5,2)</f>
        <v/>
      </c>
      <c r="K136" s="36">
        <f>SUM(F136:G136)</f>
        <v/>
      </c>
      <c r="L136" s="32">
        <f>SUM(I136:J136)</f>
        <v/>
      </c>
      <c r="M136" s="49" t="n"/>
      <c r="N136" s="49" t="n"/>
      <c r="O136" s="49" t="n"/>
    </row>
    <row r="137">
      <c r="A137" s="49" t="n"/>
      <c r="B137" s="49" t="n"/>
      <c r="C137" s="36">
        <f>IFERROR(INDEX('Employee Database'!$B$3:$B$202,MATCH(B137,'Employee Database'!$A$3:$A$202,0)),"")</f>
        <v/>
      </c>
      <c r="D137" s="50" t="n"/>
      <c r="E137" s="50" t="n"/>
      <c r="F137" s="49" t="n"/>
      <c r="G137" s="49" t="n"/>
      <c r="H137" s="32">
        <f>IFERROR(INDEX('Employee Database'!$K$3:$K$202,MATCH(B137,'Employee Database'!$A$3:$A$202,0)),0)</f>
        <v/>
      </c>
      <c r="I137" s="32">
        <f>ROUND(F137*H137,2)</f>
        <v/>
      </c>
      <c r="J137" s="32">
        <f>ROUND(G137*H137*1.5,2)</f>
        <v/>
      </c>
      <c r="K137" s="36">
        <f>SUM(F137:G137)</f>
        <v/>
      </c>
      <c r="L137" s="32">
        <f>SUM(I137:J137)</f>
        <v/>
      </c>
      <c r="M137" s="49" t="n"/>
      <c r="N137" s="49" t="n"/>
      <c r="O137" s="49" t="n"/>
    </row>
    <row r="138">
      <c r="A138" s="49" t="n"/>
      <c r="B138" s="49" t="n"/>
      <c r="C138" s="36">
        <f>IFERROR(INDEX('Employee Database'!$B$3:$B$202,MATCH(B138,'Employee Database'!$A$3:$A$202,0)),"")</f>
        <v/>
      </c>
      <c r="D138" s="50" t="n"/>
      <c r="E138" s="50" t="n"/>
      <c r="F138" s="49" t="n"/>
      <c r="G138" s="49" t="n"/>
      <c r="H138" s="32">
        <f>IFERROR(INDEX('Employee Database'!$K$3:$K$202,MATCH(B138,'Employee Database'!$A$3:$A$202,0)),0)</f>
        <v/>
      </c>
      <c r="I138" s="32">
        <f>ROUND(F138*H138,2)</f>
        <v/>
      </c>
      <c r="J138" s="32">
        <f>ROUND(G138*H138*1.5,2)</f>
        <v/>
      </c>
      <c r="K138" s="36">
        <f>SUM(F138:G138)</f>
        <v/>
      </c>
      <c r="L138" s="32">
        <f>SUM(I138:J138)</f>
        <v/>
      </c>
      <c r="M138" s="49" t="n"/>
      <c r="N138" s="49" t="n"/>
      <c r="O138" s="49" t="n"/>
    </row>
    <row r="139">
      <c r="A139" s="49" t="n"/>
      <c r="B139" s="49" t="n"/>
      <c r="C139" s="36">
        <f>IFERROR(INDEX('Employee Database'!$B$3:$B$202,MATCH(B139,'Employee Database'!$A$3:$A$202,0)),"")</f>
        <v/>
      </c>
      <c r="D139" s="50" t="n"/>
      <c r="E139" s="50" t="n"/>
      <c r="F139" s="49" t="n"/>
      <c r="G139" s="49" t="n"/>
      <c r="H139" s="32">
        <f>IFERROR(INDEX('Employee Database'!$K$3:$K$202,MATCH(B139,'Employee Database'!$A$3:$A$202,0)),0)</f>
        <v/>
      </c>
      <c r="I139" s="32">
        <f>ROUND(F139*H139,2)</f>
        <v/>
      </c>
      <c r="J139" s="32">
        <f>ROUND(G139*H139*1.5,2)</f>
        <v/>
      </c>
      <c r="K139" s="36">
        <f>SUM(F139:G139)</f>
        <v/>
      </c>
      <c r="L139" s="32">
        <f>SUM(I139:J139)</f>
        <v/>
      </c>
      <c r="M139" s="49" t="n"/>
      <c r="N139" s="49" t="n"/>
      <c r="O139" s="49" t="n"/>
    </row>
    <row r="140">
      <c r="A140" s="49" t="n"/>
      <c r="B140" s="49" t="n"/>
      <c r="C140" s="36">
        <f>IFERROR(INDEX('Employee Database'!$B$3:$B$202,MATCH(B140,'Employee Database'!$A$3:$A$202,0)),"")</f>
        <v/>
      </c>
      <c r="D140" s="50" t="n"/>
      <c r="E140" s="50" t="n"/>
      <c r="F140" s="49" t="n"/>
      <c r="G140" s="49" t="n"/>
      <c r="H140" s="32">
        <f>IFERROR(INDEX('Employee Database'!$K$3:$K$202,MATCH(B140,'Employee Database'!$A$3:$A$202,0)),0)</f>
        <v/>
      </c>
      <c r="I140" s="32">
        <f>ROUND(F140*H140,2)</f>
        <v/>
      </c>
      <c r="J140" s="32">
        <f>ROUND(G140*H140*1.5,2)</f>
        <v/>
      </c>
      <c r="K140" s="36">
        <f>SUM(F140:G140)</f>
        <v/>
      </c>
      <c r="L140" s="32">
        <f>SUM(I140:J140)</f>
        <v/>
      </c>
      <c r="M140" s="49" t="n"/>
      <c r="N140" s="49" t="n"/>
      <c r="O140" s="49" t="n"/>
    </row>
    <row r="141">
      <c r="A141" s="49" t="n"/>
      <c r="B141" s="49" t="n"/>
      <c r="C141" s="36">
        <f>IFERROR(INDEX('Employee Database'!$B$3:$B$202,MATCH(B141,'Employee Database'!$A$3:$A$202,0)),"")</f>
        <v/>
      </c>
      <c r="D141" s="50" t="n"/>
      <c r="E141" s="50" t="n"/>
      <c r="F141" s="49" t="n"/>
      <c r="G141" s="49" t="n"/>
      <c r="H141" s="32">
        <f>IFERROR(INDEX('Employee Database'!$K$3:$K$202,MATCH(B141,'Employee Database'!$A$3:$A$202,0)),0)</f>
        <v/>
      </c>
      <c r="I141" s="32">
        <f>ROUND(F141*H141,2)</f>
        <v/>
      </c>
      <c r="J141" s="32">
        <f>ROUND(G141*H141*1.5,2)</f>
        <v/>
      </c>
      <c r="K141" s="36">
        <f>SUM(F141:G141)</f>
        <v/>
      </c>
      <c r="L141" s="32">
        <f>SUM(I141:J141)</f>
        <v/>
      </c>
      <c r="M141" s="49" t="n"/>
      <c r="N141" s="49" t="n"/>
      <c r="O141" s="49" t="n"/>
    </row>
    <row r="142">
      <c r="A142" s="49" t="n"/>
      <c r="B142" s="49" t="n"/>
      <c r="C142" s="36">
        <f>IFERROR(INDEX('Employee Database'!$B$3:$B$202,MATCH(B142,'Employee Database'!$A$3:$A$202,0)),"")</f>
        <v/>
      </c>
      <c r="D142" s="50" t="n"/>
      <c r="E142" s="50" t="n"/>
      <c r="F142" s="49" t="n"/>
      <c r="G142" s="49" t="n"/>
      <c r="H142" s="32">
        <f>IFERROR(INDEX('Employee Database'!$K$3:$K$202,MATCH(B142,'Employee Database'!$A$3:$A$202,0)),0)</f>
        <v/>
      </c>
      <c r="I142" s="32">
        <f>ROUND(F142*H142,2)</f>
        <v/>
      </c>
      <c r="J142" s="32">
        <f>ROUND(G142*H142*1.5,2)</f>
        <v/>
      </c>
      <c r="K142" s="36">
        <f>SUM(F142:G142)</f>
        <v/>
      </c>
      <c r="L142" s="32">
        <f>SUM(I142:J142)</f>
        <v/>
      </c>
      <c r="M142" s="49" t="n"/>
      <c r="N142" s="49" t="n"/>
      <c r="O142" s="49" t="n"/>
    </row>
    <row r="143">
      <c r="A143" s="49" t="n"/>
      <c r="B143" s="49" t="n"/>
      <c r="C143" s="36">
        <f>IFERROR(INDEX('Employee Database'!$B$3:$B$202,MATCH(B143,'Employee Database'!$A$3:$A$202,0)),"")</f>
        <v/>
      </c>
      <c r="D143" s="50" t="n"/>
      <c r="E143" s="50" t="n"/>
      <c r="F143" s="49" t="n"/>
      <c r="G143" s="49" t="n"/>
      <c r="H143" s="32">
        <f>IFERROR(INDEX('Employee Database'!$K$3:$K$202,MATCH(B143,'Employee Database'!$A$3:$A$202,0)),0)</f>
        <v/>
      </c>
      <c r="I143" s="32">
        <f>ROUND(F143*H143,2)</f>
        <v/>
      </c>
      <c r="J143" s="32">
        <f>ROUND(G143*H143*1.5,2)</f>
        <v/>
      </c>
      <c r="K143" s="36">
        <f>SUM(F143:G143)</f>
        <v/>
      </c>
      <c r="L143" s="32">
        <f>SUM(I143:J143)</f>
        <v/>
      </c>
      <c r="M143" s="49" t="n"/>
      <c r="N143" s="49" t="n"/>
      <c r="O143" s="49" t="n"/>
    </row>
    <row r="144">
      <c r="A144" s="49" t="n"/>
      <c r="B144" s="49" t="n"/>
      <c r="C144" s="36">
        <f>IFERROR(INDEX('Employee Database'!$B$3:$B$202,MATCH(B144,'Employee Database'!$A$3:$A$202,0)),"")</f>
        <v/>
      </c>
      <c r="D144" s="50" t="n"/>
      <c r="E144" s="50" t="n"/>
      <c r="F144" s="49" t="n"/>
      <c r="G144" s="49" t="n"/>
      <c r="H144" s="32">
        <f>IFERROR(INDEX('Employee Database'!$K$3:$K$202,MATCH(B144,'Employee Database'!$A$3:$A$202,0)),0)</f>
        <v/>
      </c>
      <c r="I144" s="32">
        <f>ROUND(F144*H144,2)</f>
        <v/>
      </c>
      <c r="J144" s="32">
        <f>ROUND(G144*H144*1.5,2)</f>
        <v/>
      </c>
      <c r="K144" s="36">
        <f>SUM(F144:G144)</f>
        <v/>
      </c>
      <c r="L144" s="32">
        <f>SUM(I144:J144)</f>
        <v/>
      </c>
      <c r="M144" s="49" t="n"/>
      <c r="N144" s="49" t="n"/>
      <c r="O144" s="49" t="n"/>
    </row>
    <row r="145">
      <c r="A145" s="49" t="n"/>
      <c r="B145" s="49" t="n"/>
      <c r="C145" s="36">
        <f>IFERROR(INDEX('Employee Database'!$B$3:$B$202,MATCH(B145,'Employee Database'!$A$3:$A$202,0)),"")</f>
        <v/>
      </c>
      <c r="D145" s="50" t="n"/>
      <c r="E145" s="50" t="n"/>
      <c r="F145" s="49" t="n"/>
      <c r="G145" s="49" t="n"/>
      <c r="H145" s="32">
        <f>IFERROR(INDEX('Employee Database'!$K$3:$K$202,MATCH(B145,'Employee Database'!$A$3:$A$202,0)),0)</f>
        <v/>
      </c>
      <c r="I145" s="32">
        <f>ROUND(F145*H145,2)</f>
        <v/>
      </c>
      <c r="J145" s="32">
        <f>ROUND(G145*H145*1.5,2)</f>
        <v/>
      </c>
      <c r="K145" s="36">
        <f>SUM(F145:G145)</f>
        <v/>
      </c>
      <c r="L145" s="32">
        <f>SUM(I145:J145)</f>
        <v/>
      </c>
      <c r="M145" s="49" t="n"/>
      <c r="N145" s="49" t="n"/>
      <c r="O145" s="49" t="n"/>
    </row>
    <row r="146">
      <c r="A146" s="49" t="n"/>
      <c r="B146" s="49" t="n"/>
      <c r="C146" s="36">
        <f>IFERROR(INDEX('Employee Database'!$B$3:$B$202,MATCH(B146,'Employee Database'!$A$3:$A$202,0)),"")</f>
        <v/>
      </c>
      <c r="D146" s="50" t="n"/>
      <c r="E146" s="50" t="n"/>
      <c r="F146" s="49" t="n"/>
      <c r="G146" s="49" t="n"/>
      <c r="H146" s="32">
        <f>IFERROR(INDEX('Employee Database'!$K$3:$K$202,MATCH(B146,'Employee Database'!$A$3:$A$202,0)),0)</f>
        <v/>
      </c>
      <c r="I146" s="32">
        <f>ROUND(F146*H146,2)</f>
        <v/>
      </c>
      <c r="J146" s="32">
        <f>ROUND(G146*H146*1.5,2)</f>
        <v/>
      </c>
      <c r="K146" s="36">
        <f>SUM(F146:G146)</f>
        <v/>
      </c>
      <c r="L146" s="32">
        <f>SUM(I146:J146)</f>
        <v/>
      </c>
      <c r="M146" s="49" t="n"/>
      <c r="N146" s="49" t="n"/>
      <c r="O146" s="49" t="n"/>
    </row>
    <row r="147">
      <c r="A147" s="49" t="n"/>
      <c r="B147" s="49" t="n"/>
      <c r="C147" s="36">
        <f>IFERROR(INDEX('Employee Database'!$B$3:$B$202,MATCH(B147,'Employee Database'!$A$3:$A$202,0)),"")</f>
        <v/>
      </c>
      <c r="D147" s="50" t="n"/>
      <c r="E147" s="50" t="n"/>
      <c r="F147" s="49" t="n"/>
      <c r="G147" s="49" t="n"/>
      <c r="H147" s="32">
        <f>IFERROR(INDEX('Employee Database'!$K$3:$K$202,MATCH(B147,'Employee Database'!$A$3:$A$202,0)),0)</f>
        <v/>
      </c>
      <c r="I147" s="32">
        <f>ROUND(F147*H147,2)</f>
        <v/>
      </c>
      <c r="J147" s="32">
        <f>ROUND(G147*H147*1.5,2)</f>
        <v/>
      </c>
      <c r="K147" s="36">
        <f>SUM(F147:G147)</f>
        <v/>
      </c>
      <c r="L147" s="32">
        <f>SUM(I147:J147)</f>
        <v/>
      </c>
      <c r="M147" s="49" t="n"/>
      <c r="N147" s="49" t="n"/>
      <c r="O147" s="49" t="n"/>
    </row>
    <row r="148">
      <c r="A148" s="49" t="n"/>
      <c r="B148" s="49" t="n"/>
      <c r="C148" s="36">
        <f>IFERROR(INDEX('Employee Database'!$B$3:$B$202,MATCH(B148,'Employee Database'!$A$3:$A$202,0)),"")</f>
        <v/>
      </c>
      <c r="D148" s="50" t="n"/>
      <c r="E148" s="50" t="n"/>
      <c r="F148" s="49" t="n"/>
      <c r="G148" s="49" t="n"/>
      <c r="H148" s="32">
        <f>IFERROR(INDEX('Employee Database'!$K$3:$K$202,MATCH(B148,'Employee Database'!$A$3:$A$202,0)),0)</f>
        <v/>
      </c>
      <c r="I148" s="32">
        <f>ROUND(F148*H148,2)</f>
        <v/>
      </c>
      <c r="J148" s="32">
        <f>ROUND(G148*H148*1.5,2)</f>
        <v/>
      </c>
      <c r="K148" s="36">
        <f>SUM(F148:G148)</f>
        <v/>
      </c>
      <c r="L148" s="32">
        <f>SUM(I148:J148)</f>
        <v/>
      </c>
      <c r="M148" s="49" t="n"/>
      <c r="N148" s="49" t="n"/>
      <c r="O148" s="49" t="n"/>
    </row>
    <row r="149">
      <c r="A149" s="49" t="n"/>
      <c r="B149" s="49" t="n"/>
      <c r="C149" s="36">
        <f>IFERROR(INDEX('Employee Database'!$B$3:$B$202,MATCH(B149,'Employee Database'!$A$3:$A$202,0)),"")</f>
        <v/>
      </c>
      <c r="D149" s="50" t="n"/>
      <c r="E149" s="50" t="n"/>
      <c r="F149" s="49" t="n"/>
      <c r="G149" s="49" t="n"/>
      <c r="H149" s="32">
        <f>IFERROR(INDEX('Employee Database'!$K$3:$K$202,MATCH(B149,'Employee Database'!$A$3:$A$202,0)),0)</f>
        <v/>
      </c>
      <c r="I149" s="32">
        <f>ROUND(F149*H149,2)</f>
        <v/>
      </c>
      <c r="J149" s="32">
        <f>ROUND(G149*H149*1.5,2)</f>
        <v/>
      </c>
      <c r="K149" s="36">
        <f>SUM(F149:G149)</f>
        <v/>
      </c>
      <c r="L149" s="32">
        <f>SUM(I149:J149)</f>
        <v/>
      </c>
      <c r="M149" s="49" t="n"/>
      <c r="N149" s="49" t="n"/>
      <c r="O149" s="49" t="n"/>
    </row>
    <row r="150">
      <c r="A150" s="49" t="n"/>
      <c r="B150" s="49" t="n"/>
      <c r="C150" s="36">
        <f>IFERROR(INDEX('Employee Database'!$B$3:$B$202,MATCH(B150,'Employee Database'!$A$3:$A$202,0)),"")</f>
        <v/>
      </c>
      <c r="D150" s="50" t="n"/>
      <c r="E150" s="50" t="n"/>
      <c r="F150" s="49" t="n"/>
      <c r="G150" s="49" t="n"/>
      <c r="H150" s="32">
        <f>IFERROR(INDEX('Employee Database'!$K$3:$K$202,MATCH(B150,'Employee Database'!$A$3:$A$202,0)),0)</f>
        <v/>
      </c>
      <c r="I150" s="32">
        <f>ROUND(F150*H150,2)</f>
        <v/>
      </c>
      <c r="J150" s="32">
        <f>ROUND(G150*H150*1.5,2)</f>
        <v/>
      </c>
      <c r="K150" s="36">
        <f>SUM(F150:G150)</f>
        <v/>
      </c>
      <c r="L150" s="32">
        <f>SUM(I150:J150)</f>
        <v/>
      </c>
      <c r="M150" s="49" t="n"/>
      <c r="N150" s="49" t="n"/>
      <c r="O150" s="49" t="n"/>
    </row>
    <row r="151">
      <c r="A151" s="49" t="n"/>
      <c r="B151" s="49" t="n"/>
      <c r="C151" s="36">
        <f>IFERROR(INDEX('Employee Database'!$B$3:$B$202,MATCH(B151,'Employee Database'!$A$3:$A$202,0)),"")</f>
        <v/>
      </c>
      <c r="D151" s="50" t="n"/>
      <c r="E151" s="50" t="n"/>
      <c r="F151" s="49" t="n"/>
      <c r="G151" s="49" t="n"/>
      <c r="H151" s="32">
        <f>IFERROR(INDEX('Employee Database'!$K$3:$K$202,MATCH(B151,'Employee Database'!$A$3:$A$202,0)),0)</f>
        <v/>
      </c>
      <c r="I151" s="32">
        <f>ROUND(F151*H151,2)</f>
        <v/>
      </c>
      <c r="J151" s="32">
        <f>ROUND(G151*H151*1.5,2)</f>
        <v/>
      </c>
      <c r="K151" s="36">
        <f>SUM(F151:G151)</f>
        <v/>
      </c>
      <c r="L151" s="32">
        <f>SUM(I151:J151)</f>
        <v/>
      </c>
      <c r="M151" s="49" t="n"/>
      <c r="N151" s="49" t="n"/>
      <c r="O151" s="49" t="n"/>
    </row>
    <row r="152">
      <c r="A152" s="49" t="n"/>
      <c r="B152" s="49" t="n"/>
      <c r="C152" s="36">
        <f>IFERROR(INDEX('Employee Database'!$B$3:$B$202,MATCH(B152,'Employee Database'!$A$3:$A$202,0)),"")</f>
        <v/>
      </c>
      <c r="D152" s="50" t="n"/>
      <c r="E152" s="50" t="n"/>
      <c r="F152" s="49" t="n"/>
      <c r="G152" s="49" t="n"/>
      <c r="H152" s="32">
        <f>IFERROR(INDEX('Employee Database'!$K$3:$K$202,MATCH(B152,'Employee Database'!$A$3:$A$202,0)),0)</f>
        <v/>
      </c>
      <c r="I152" s="32">
        <f>ROUND(F152*H152,2)</f>
        <v/>
      </c>
      <c r="J152" s="32">
        <f>ROUND(G152*H152*1.5,2)</f>
        <v/>
      </c>
      <c r="K152" s="36">
        <f>SUM(F152:G152)</f>
        <v/>
      </c>
      <c r="L152" s="32">
        <f>SUM(I152:J152)</f>
        <v/>
      </c>
      <c r="M152" s="49" t="n"/>
      <c r="N152" s="49" t="n"/>
      <c r="O152" s="49" t="n"/>
    </row>
    <row r="153">
      <c r="A153" s="49" t="n"/>
      <c r="B153" s="49" t="n"/>
      <c r="C153" s="36">
        <f>IFERROR(INDEX('Employee Database'!$B$3:$B$202,MATCH(B153,'Employee Database'!$A$3:$A$202,0)),"")</f>
        <v/>
      </c>
      <c r="D153" s="50" t="n"/>
      <c r="E153" s="50" t="n"/>
      <c r="F153" s="49" t="n"/>
      <c r="G153" s="49" t="n"/>
      <c r="H153" s="32">
        <f>IFERROR(INDEX('Employee Database'!$K$3:$K$202,MATCH(B153,'Employee Database'!$A$3:$A$202,0)),0)</f>
        <v/>
      </c>
      <c r="I153" s="32">
        <f>ROUND(F153*H153,2)</f>
        <v/>
      </c>
      <c r="J153" s="32">
        <f>ROUND(G153*H153*1.5,2)</f>
        <v/>
      </c>
      <c r="K153" s="36">
        <f>SUM(F153:G153)</f>
        <v/>
      </c>
      <c r="L153" s="32">
        <f>SUM(I153:J153)</f>
        <v/>
      </c>
      <c r="M153" s="49" t="n"/>
      <c r="N153" s="49" t="n"/>
      <c r="O153" s="49" t="n"/>
    </row>
    <row r="154">
      <c r="A154" s="49" t="n"/>
      <c r="B154" s="49" t="n"/>
      <c r="C154" s="36">
        <f>IFERROR(INDEX('Employee Database'!$B$3:$B$202,MATCH(B154,'Employee Database'!$A$3:$A$202,0)),"")</f>
        <v/>
      </c>
      <c r="D154" s="50" t="n"/>
      <c r="E154" s="50" t="n"/>
      <c r="F154" s="49" t="n"/>
      <c r="G154" s="49" t="n"/>
      <c r="H154" s="32">
        <f>IFERROR(INDEX('Employee Database'!$K$3:$K$202,MATCH(B154,'Employee Database'!$A$3:$A$202,0)),0)</f>
        <v/>
      </c>
      <c r="I154" s="32">
        <f>ROUND(F154*H154,2)</f>
        <v/>
      </c>
      <c r="J154" s="32">
        <f>ROUND(G154*H154*1.5,2)</f>
        <v/>
      </c>
      <c r="K154" s="36">
        <f>SUM(F154:G154)</f>
        <v/>
      </c>
      <c r="L154" s="32">
        <f>SUM(I154:J154)</f>
        <v/>
      </c>
      <c r="M154" s="49" t="n"/>
      <c r="N154" s="49" t="n"/>
      <c r="O154" s="49" t="n"/>
    </row>
    <row r="155">
      <c r="A155" s="49" t="n"/>
      <c r="B155" s="49" t="n"/>
      <c r="C155" s="36">
        <f>IFERROR(INDEX('Employee Database'!$B$3:$B$202,MATCH(B155,'Employee Database'!$A$3:$A$202,0)),"")</f>
        <v/>
      </c>
      <c r="D155" s="50" t="n"/>
      <c r="E155" s="50" t="n"/>
      <c r="F155" s="49" t="n"/>
      <c r="G155" s="49" t="n"/>
      <c r="H155" s="32">
        <f>IFERROR(INDEX('Employee Database'!$K$3:$K$202,MATCH(B155,'Employee Database'!$A$3:$A$202,0)),0)</f>
        <v/>
      </c>
      <c r="I155" s="32">
        <f>ROUND(F155*H155,2)</f>
        <v/>
      </c>
      <c r="J155" s="32">
        <f>ROUND(G155*H155*1.5,2)</f>
        <v/>
      </c>
      <c r="K155" s="36">
        <f>SUM(F155:G155)</f>
        <v/>
      </c>
      <c r="L155" s="32">
        <f>SUM(I155:J155)</f>
        <v/>
      </c>
      <c r="M155" s="49" t="n"/>
      <c r="N155" s="49" t="n"/>
      <c r="O155" s="49" t="n"/>
    </row>
    <row r="156">
      <c r="A156" s="49" t="n"/>
      <c r="B156" s="49" t="n"/>
      <c r="C156" s="36">
        <f>IFERROR(INDEX('Employee Database'!$B$3:$B$202,MATCH(B156,'Employee Database'!$A$3:$A$202,0)),"")</f>
        <v/>
      </c>
      <c r="D156" s="50" t="n"/>
      <c r="E156" s="50" t="n"/>
      <c r="F156" s="49" t="n"/>
      <c r="G156" s="49" t="n"/>
      <c r="H156" s="32">
        <f>IFERROR(INDEX('Employee Database'!$K$3:$K$202,MATCH(B156,'Employee Database'!$A$3:$A$202,0)),0)</f>
        <v/>
      </c>
      <c r="I156" s="32">
        <f>ROUND(F156*H156,2)</f>
        <v/>
      </c>
      <c r="J156" s="32">
        <f>ROUND(G156*H156*1.5,2)</f>
        <v/>
      </c>
      <c r="K156" s="36">
        <f>SUM(F156:G156)</f>
        <v/>
      </c>
      <c r="L156" s="32">
        <f>SUM(I156:J156)</f>
        <v/>
      </c>
      <c r="M156" s="49" t="n"/>
      <c r="N156" s="49" t="n"/>
      <c r="O156" s="49" t="n"/>
    </row>
    <row r="157">
      <c r="A157" s="49" t="n"/>
      <c r="B157" s="49" t="n"/>
      <c r="C157" s="36">
        <f>IFERROR(INDEX('Employee Database'!$B$3:$B$202,MATCH(B157,'Employee Database'!$A$3:$A$202,0)),"")</f>
        <v/>
      </c>
      <c r="D157" s="50" t="n"/>
      <c r="E157" s="50" t="n"/>
      <c r="F157" s="49" t="n"/>
      <c r="G157" s="49" t="n"/>
      <c r="H157" s="32">
        <f>IFERROR(INDEX('Employee Database'!$K$3:$K$202,MATCH(B157,'Employee Database'!$A$3:$A$202,0)),0)</f>
        <v/>
      </c>
      <c r="I157" s="32">
        <f>ROUND(F157*H157,2)</f>
        <v/>
      </c>
      <c r="J157" s="32">
        <f>ROUND(G157*H157*1.5,2)</f>
        <v/>
      </c>
      <c r="K157" s="36">
        <f>SUM(F157:G157)</f>
        <v/>
      </c>
      <c r="L157" s="32">
        <f>SUM(I157:J157)</f>
        <v/>
      </c>
      <c r="M157" s="49" t="n"/>
      <c r="N157" s="49" t="n"/>
      <c r="O157" s="49" t="n"/>
    </row>
    <row r="158">
      <c r="A158" s="49" t="n"/>
      <c r="B158" s="49" t="n"/>
      <c r="C158" s="36">
        <f>IFERROR(INDEX('Employee Database'!$B$3:$B$202,MATCH(B158,'Employee Database'!$A$3:$A$202,0)),"")</f>
        <v/>
      </c>
      <c r="D158" s="50" t="n"/>
      <c r="E158" s="50" t="n"/>
      <c r="F158" s="49" t="n"/>
      <c r="G158" s="49" t="n"/>
      <c r="H158" s="32">
        <f>IFERROR(INDEX('Employee Database'!$K$3:$K$202,MATCH(B158,'Employee Database'!$A$3:$A$202,0)),0)</f>
        <v/>
      </c>
      <c r="I158" s="32">
        <f>ROUND(F158*H158,2)</f>
        <v/>
      </c>
      <c r="J158" s="32">
        <f>ROUND(G158*H158*1.5,2)</f>
        <v/>
      </c>
      <c r="K158" s="36">
        <f>SUM(F158:G158)</f>
        <v/>
      </c>
      <c r="L158" s="32">
        <f>SUM(I158:J158)</f>
        <v/>
      </c>
      <c r="M158" s="49" t="n"/>
      <c r="N158" s="49" t="n"/>
      <c r="O158" s="49" t="n"/>
    </row>
    <row r="159">
      <c r="A159" s="49" t="n"/>
      <c r="B159" s="49" t="n"/>
      <c r="C159" s="36">
        <f>IFERROR(INDEX('Employee Database'!$B$3:$B$202,MATCH(B159,'Employee Database'!$A$3:$A$202,0)),"")</f>
        <v/>
      </c>
      <c r="D159" s="50" t="n"/>
      <c r="E159" s="50" t="n"/>
      <c r="F159" s="49" t="n"/>
      <c r="G159" s="49" t="n"/>
      <c r="H159" s="32">
        <f>IFERROR(INDEX('Employee Database'!$K$3:$K$202,MATCH(B159,'Employee Database'!$A$3:$A$202,0)),0)</f>
        <v/>
      </c>
      <c r="I159" s="32">
        <f>ROUND(F159*H159,2)</f>
        <v/>
      </c>
      <c r="J159" s="32">
        <f>ROUND(G159*H159*1.5,2)</f>
        <v/>
      </c>
      <c r="K159" s="36">
        <f>SUM(F159:G159)</f>
        <v/>
      </c>
      <c r="L159" s="32">
        <f>SUM(I159:J159)</f>
        <v/>
      </c>
      <c r="M159" s="49" t="n"/>
      <c r="N159" s="49" t="n"/>
      <c r="O159" s="49" t="n"/>
    </row>
    <row r="160">
      <c r="A160" s="49" t="n"/>
      <c r="B160" s="49" t="n"/>
      <c r="C160" s="36">
        <f>IFERROR(INDEX('Employee Database'!$B$3:$B$202,MATCH(B160,'Employee Database'!$A$3:$A$202,0)),"")</f>
        <v/>
      </c>
      <c r="D160" s="50" t="n"/>
      <c r="E160" s="50" t="n"/>
      <c r="F160" s="49" t="n"/>
      <c r="G160" s="49" t="n"/>
      <c r="H160" s="32">
        <f>IFERROR(INDEX('Employee Database'!$K$3:$K$202,MATCH(B160,'Employee Database'!$A$3:$A$202,0)),0)</f>
        <v/>
      </c>
      <c r="I160" s="32">
        <f>ROUND(F160*H160,2)</f>
        <v/>
      </c>
      <c r="J160" s="32">
        <f>ROUND(G160*H160*1.5,2)</f>
        <v/>
      </c>
      <c r="K160" s="36">
        <f>SUM(F160:G160)</f>
        <v/>
      </c>
      <c r="L160" s="32">
        <f>SUM(I160:J160)</f>
        <v/>
      </c>
      <c r="M160" s="49" t="n"/>
      <c r="N160" s="49" t="n"/>
      <c r="O160" s="49" t="n"/>
    </row>
    <row r="161">
      <c r="A161" s="49" t="n"/>
      <c r="B161" s="49" t="n"/>
      <c r="C161" s="36">
        <f>IFERROR(INDEX('Employee Database'!$B$3:$B$202,MATCH(B161,'Employee Database'!$A$3:$A$202,0)),"")</f>
        <v/>
      </c>
      <c r="D161" s="50" t="n"/>
      <c r="E161" s="50" t="n"/>
      <c r="F161" s="49" t="n"/>
      <c r="G161" s="49" t="n"/>
      <c r="H161" s="32">
        <f>IFERROR(INDEX('Employee Database'!$K$3:$K$202,MATCH(B161,'Employee Database'!$A$3:$A$202,0)),0)</f>
        <v/>
      </c>
      <c r="I161" s="32">
        <f>ROUND(F161*H161,2)</f>
        <v/>
      </c>
      <c r="J161" s="32">
        <f>ROUND(G161*H161*1.5,2)</f>
        <v/>
      </c>
      <c r="K161" s="36">
        <f>SUM(F161:G161)</f>
        <v/>
      </c>
      <c r="L161" s="32">
        <f>SUM(I161:J161)</f>
        <v/>
      </c>
      <c r="M161" s="49" t="n"/>
      <c r="N161" s="49" t="n"/>
      <c r="O161" s="49" t="n"/>
    </row>
    <row r="162">
      <c r="A162" s="49" t="n"/>
      <c r="B162" s="49" t="n"/>
      <c r="C162" s="36">
        <f>IFERROR(INDEX('Employee Database'!$B$3:$B$202,MATCH(B162,'Employee Database'!$A$3:$A$202,0)),"")</f>
        <v/>
      </c>
      <c r="D162" s="50" t="n"/>
      <c r="E162" s="50" t="n"/>
      <c r="F162" s="49" t="n"/>
      <c r="G162" s="49" t="n"/>
      <c r="H162" s="32">
        <f>IFERROR(INDEX('Employee Database'!$K$3:$K$202,MATCH(B162,'Employee Database'!$A$3:$A$202,0)),0)</f>
        <v/>
      </c>
      <c r="I162" s="32">
        <f>ROUND(F162*H162,2)</f>
        <v/>
      </c>
      <c r="J162" s="32">
        <f>ROUND(G162*H162*1.5,2)</f>
        <v/>
      </c>
      <c r="K162" s="36">
        <f>SUM(F162:G162)</f>
        <v/>
      </c>
      <c r="L162" s="32">
        <f>SUM(I162:J162)</f>
        <v/>
      </c>
      <c r="M162" s="49" t="n"/>
      <c r="N162" s="49" t="n"/>
      <c r="O162" s="49" t="n"/>
    </row>
    <row r="163">
      <c r="A163" s="49" t="n"/>
      <c r="B163" s="49" t="n"/>
      <c r="C163" s="36">
        <f>IFERROR(INDEX('Employee Database'!$B$3:$B$202,MATCH(B163,'Employee Database'!$A$3:$A$202,0)),"")</f>
        <v/>
      </c>
      <c r="D163" s="50" t="n"/>
      <c r="E163" s="50" t="n"/>
      <c r="F163" s="49" t="n"/>
      <c r="G163" s="49" t="n"/>
      <c r="H163" s="32">
        <f>IFERROR(INDEX('Employee Database'!$K$3:$K$202,MATCH(B163,'Employee Database'!$A$3:$A$202,0)),0)</f>
        <v/>
      </c>
      <c r="I163" s="32">
        <f>ROUND(F163*H163,2)</f>
        <v/>
      </c>
      <c r="J163" s="32">
        <f>ROUND(G163*H163*1.5,2)</f>
        <v/>
      </c>
      <c r="K163" s="36">
        <f>SUM(F163:G163)</f>
        <v/>
      </c>
      <c r="L163" s="32">
        <f>SUM(I163:J163)</f>
        <v/>
      </c>
      <c r="M163" s="49" t="n"/>
      <c r="N163" s="49" t="n"/>
      <c r="O163" s="49" t="n"/>
    </row>
    <row r="164">
      <c r="A164" s="49" t="n"/>
      <c r="B164" s="49" t="n"/>
      <c r="C164" s="36">
        <f>IFERROR(INDEX('Employee Database'!$B$3:$B$202,MATCH(B164,'Employee Database'!$A$3:$A$202,0)),"")</f>
        <v/>
      </c>
      <c r="D164" s="50" t="n"/>
      <c r="E164" s="50" t="n"/>
      <c r="F164" s="49" t="n"/>
      <c r="G164" s="49" t="n"/>
      <c r="H164" s="32">
        <f>IFERROR(INDEX('Employee Database'!$K$3:$K$202,MATCH(B164,'Employee Database'!$A$3:$A$202,0)),0)</f>
        <v/>
      </c>
      <c r="I164" s="32">
        <f>ROUND(F164*H164,2)</f>
        <v/>
      </c>
      <c r="J164" s="32">
        <f>ROUND(G164*H164*1.5,2)</f>
        <v/>
      </c>
      <c r="K164" s="36">
        <f>SUM(F164:G164)</f>
        <v/>
      </c>
      <c r="L164" s="32">
        <f>SUM(I164:J164)</f>
        <v/>
      </c>
      <c r="M164" s="49" t="n"/>
      <c r="N164" s="49" t="n"/>
      <c r="O164" s="49" t="n"/>
    </row>
    <row r="165">
      <c r="A165" s="49" t="n"/>
      <c r="B165" s="49" t="n"/>
      <c r="C165" s="36">
        <f>IFERROR(INDEX('Employee Database'!$B$3:$B$202,MATCH(B165,'Employee Database'!$A$3:$A$202,0)),"")</f>
        <v/>
      </c>
      <c r="D165" s="50" t="n"/>
      <c r="E165" s="50" t="n"/>
      <c r="F165" s="49" t="n"/>
      <c r="G165" s="49" t="n"/>
      <c r="H165" s="32">
        <f>IFERROR(INDEX('Employee Database'!$K$3:$K$202,MATCH(B165,'Employee Database'!$A$3:$A$202,0)),0)</f>
        <v/>
      </c>
      <c r="I165" s="32">
        <f>ROUND(F165*H165,2)</f>
        <v/>
      </c>
      <c r="J165" s="32">
        <f>ROUND(G165*H165*1.5,2)</f>
        <v/>
      </c>
      <c r="K165" s="36">
        <f>SUM(F165:G165)</f>
        <v/>
      </c>
      <c r="L165" s="32">
        <f>SUM(I165:J165)</f>
        <v/>
      </c>
      <c r="M165" s="49" t="n"/>
      <c r="N165" s="49" t="n"/>
      <c r="O165" s="49" t="n"/>
    </row>
    <row r="166">
      <c r="A166" s="49" t="n"/>
      <c r="B166" s="49" t="n"/>
      <c r="C166" s="36">
        <f>IFERROR(INDEX('Employee Database'!$B$3:$B$202,MATCH(B166,'Employee Database'!$A$3:$A$202,0)),"")</f>
        <v/>
      </c>
      <c r="D166" s="50" t="n"/>
      <c r="E166" s="50" t="n"/>
      <c r="F166" s="49" t="n"/>
      <c r="G166" s="49" t="n"/>
      <c r="H166" s="32">
        <f>IFERROR(INDEX('Employee Database'!$K$3:$K$202,MATCH(B166,'Employee Database'!$A$3:$A$202,0)),0)</f>
        <v/>
      </c>
      <c r="I166" s="32">
        <f>ROUND(F166*H166,2)</f>
        <v/>
      </c>
      <c r="J166" s="32">
        <f>ROUND(G166*H166*1.5,2)</f>
        <v/>
      </c>
      <c r="K166" s="36">
        <f>SUM(F166:G166)</f>
        <v/>
      </c>
      <c r="L166" s="32">
        <f>SUM(I166:J166)</f>
        <v/>
      </c>
      <c r="M166" s="49" t="n"/>
      <c r="N166" s="49" t="n"/>
      <c r="O166" s="49" t="n"/>
    </row>
    <row r="167">
      <c r="A167" s="49" t="n"/>
      <c r="B167" s="49" t="n"/>
      <c r="C167" s="36">
        <f>IFERROR(INDEX('Employee Database'!$B$3:$B$202,MATCH(B167,'Employee Database'!$A$3:$A$202,0)),"")</f>
        <v/>
      </c>
      <c r="D167" s="50" t="n"/>
      <c r="E167" s="50" t="n"/>
      <c r="F167" s="49" t="n"/>
      <c r="G167" s="49" t="n"/>
      <c r="H167" s="32">
        <f>IFERROR(INDEX('Employee Database'!$K$3:$K$202,MATCH(B167,'Employee Database'!$A$3:$A$202,0)),0)</f>
        <v/>
      </c>
      <c r="I167" s="32">
        <f>ROUND(F167*H167,2)</f>
        <v/>
      </c>
      <c r="J167" s="32">
        <f>ROUND(G167*H167*1.5,2)</f>
        <v/>
      </c>
      <c r="K167" s="36">
        <f>SUM(F167:G167)</f>
        <v/>
      </c>
      <c r="L167" s="32">
        <f>SUM(I167:J167)</f>
        <v/>
      </c>
      <c r="M167" s="49" t="n"/>
      <c r="N167" s="49" t="n"/>
      <c r="O167" s="49" t="n"/>
    </row>
    <row r="168">
      <c r="A168" s="49" t="n"/>
      <c r="B168" s="49" t="n"/>
      <c r="C168" s="36">
        <f>IFERROR(INDEX('Employee Database'!$B$3:$B$202,MATCH(B168,'Employee Database'!$A$3:$A$202,0)),"")</f>
        <v/>
      </c>
      <c r="D168" s="50" t="n"/>
      <c r="E168" s="50" t="n"/>
      <c r="F168" s="49" t="n"/>
      <c r="G168" s="49" t="n"/>
      <c r="H168" s="32">
        <f>IFERROR(INDEX('Employee Database'!$K$3:$K$202,MATCH(B168,'Employee Database'!$A$3:$A$202,0)),0)</f>
        <v/>
      </c>
      <c r="I168" s="32">
        <f>ROUND(F168*H168,2)</f>
        <v/>
      </c>
      <c r="J168" s="32">
        <f>ROUND(G168*H168*1.5,2)</f>
        <v/>
      </c>
      <c r="K168" s="36">
        <f>SUM(F168:G168)</f>
        <v/>
      </c>
      <c r="L168" s="32">
        <f>SUM(I168:J168)</f>
        <v/>
      </c>
      <c r="M168" s="49" t="n"/>
      <c r="N168" s="49" t="n"/>
      <c r="O168" s="49" t="n"/>
    </row>
    <row r="169">
      <c r="A169" s="49" t="n"/>
      <c r="B169" s="49" t="n"/>
      <c r="C169" s="36">
        <f>IFERROR(INDEX('Employee Database'!$B$3:$B$202,MATCH(B169,'Employee Database'!$A$3:$A$202,0)),"")</f>
        <v/>
      </c>
      <c r="D169" s="50" t="n"/>
      <c r="E169" s="50" t="n"/>
      <c r="F169" s="49" t="n"/>
      <c r="G169" s="49" t="n"/>
      <c r="H169" s="32">
        <f>IFERROR(INDEX('Employee Database'!$K$3:$K$202,MATCH(B169,'Employee Database'!$A$3:$A$202,0)),0)</f>
        <v/>
      </c>
      <c r="I169" s="32">
        <f>ROUND(F169*H169,2)</f>
        <v/>
      </c>
      <c r="J169" s="32">
        <f>ROUND(G169*H169*1.5,2)</f>
        <v/>
      </c>
      <c r="K169" s="36">
        <f>SUM(F169:G169)</f>
        <v/>
      </c>
      <c r="L169" s="32">
        <f>SUM(I169:J169)</f>
        <v/>
      </c>
      <c r="M169" s="49" t="n"/>
      <c r="N169" s="49" t="n"/>
      <c r="O169" s="49" t="n"/>
    </row>
    <row r="170">
      <c r="A170" s="49" t="n"/>
      <c r="B170" s="49" t="n"/>
      <c r="C170" s="36">
        <f>IFERROR(INDEX('Employee Database'!$B$3:$B$202,MATCH(B170,'Employee Database'!$A$3:$A$202,0)),"")</f>
        <v/>
      </c>
      <c r="D170" s="50" t="n"/>
      <c r="E170" s="50" t="n"/>
      <c r="F170" s="49" t="n"/>
      <c r="G170" s="49" t="n"/>
      <c r="H170" s="32">
        <f>IFERROR(INDEX('Employee Database'!$K$3:$K$202,MATCH(B170,'Employee Database'!$A$3:$A$202,0)),0)</f>
        <v/>
      </c>
      <c r="I170" s="32">
        <f>ROUND(F170*H170,2)</f>
        <v/>
      </c>
      <c r="J170" s="32">
        <f>ROUND(G170*H170*1.5,2)</f>
        <v/>
      </c>
      <c r="K170" s="36">
        <f>SUM(F170:G170)</f>
        <v/>
      </c>
      <c r="L170" s="32">
        <f>SUM(I170:J170)</f>
        <v/>
      </c>
      <c r="M170" s="49" t="n"/>
      <c r="N170" s="49" t="n"/>
      <c r="O170" s="49" t="n"/>
    </row>
    <row r="171">
      <c r="A171" s="49" t="n"/>
      <c r="B171" s="49" t="n"/>
      <c r="C171" s="36">
        <f>IFERROR(INDEX('Employee Database'!$B$3:$B$202,MATCH(B171,'Employee Database'!$A$3:$A$202,0)),"")</f>
        <v/>
      </c>
      <c r="D171" s="50" t="n"/>
      <c r="E171" s="50" t="n"/>
      <c r="F171" s="49" t="n"/>
      <c r="G171" s="49" t="n"/>
      <c r="H171" s="32">
        <f>IFERROR(INDEX('Employee Database'!$K$3:$K$202,MATCH(B171,'Employee Database'!$A$3:$A$202,0)),0)</f>
        <v/>
      </c>
      <c r="I171" s="32">
        <f>ROUND(F171*H171,2)</f>
        <v/>
      </c>
      <c r="J171" s="32">
        <f>ROUND(G171*H171*1.5,2)</f>
        <v/>
      </c>
      <c r="K171" s="36">
        <f>SUM(F171:G171)</f>
        <v/>
      </c>
      <c r="L171" s="32">
        <f>SUM(I171:J171)</f>
        <v/>
      </c>
      <c r="M171" s="49" t="n"/>
      <c r="N171" s="49" t="n"/>
      <c r="O171" s="49" t="n"/>
    </row>
    <row r="172">
      <c r="A172" s="49" t="n"/>
      <c r="B172" s="49" t="n"/>
      <c r="C172" s="36">
        <f>IFERROR(INDEX('Employee Database'!$B$3:$B$202,MATCH(B172,'Employee Database'!$A$3:$A$202,0)),"")</f>
        <v/>
      </c>
      <c r="D172" s="50" t="n"/>
      <c r="E172" s="50" t="n"/>
      <c r="F172" s="49" t="n"/>
      <c r="G172" s="49" t="n"/>
      <c r="H172" s="32">
        <f>IFERROR(INDEX('Employee Database'!$K$3:$K$202,MATCH(B172,'Employee Database'!$A$3:$A$202,0)),0)</f>
        <v/>
      </c>
      <c r="I172" s="32">
        <f>ROUND(F172*H172,2)</f>
        <v/>
      </c>
      <c r="J172" s="32">
        <f>ROUND(G172*H172*1.5,2)</f>
        <v/>
      </c>
      <c r="K172" s="36">
        <f>SUM(F172:G172)</f>
        <v/>
      </c>
      <c r="L172" s="32">
        <f>SUM(I172:J172)</f>
        <v/>
      </c>
      <c r="M172" s="49" t="n"/>
      <c r="N172" s="49" t="n"/>
      <c r="O172" s="49" t="n"/>
    </row>
    <row r="173">
      <c r="A173" s="49" t="n"/>
      <c r="B173" s="49" t="n"/>
      <c r="C173" s="36">
        <f>IFERROR(INDEX('Employee Database'!$B$3:$B$202,MATCH(B173,'Employee Database'!$A$3:$A$202,0)),"")</f>
        <v/>
      </c>
      <c r="D173" s="50" t="n"/>
      <c r="E173" s="50" t="n"/>
      <c r="F173" s="49" t="n"/>
      <c r="G173" s="49" t="n"/>
      <c r="H173" s="32">
        <f>IFERROR(INDEX('Employee Database'!$K$3:$K$202,MATCH(B173,'Employee Database'!$A$3:$A$202,0)),0)</f>
        <v/>
      </c>
      <c r="I173" s="32">
        <f>ROUND(F173*H173,2)</f>
        <v/>
      </c>
      <c r="J173" s="32">
        <f>ROUND(G173*H173*1.5,2)</f>
        <v/>
      </c>
      <c r="K173" s="36">
        <f>SUM(F173:G173)</f>
        <v/>
      </c>
      <c r="L173" s="32">
        <f>SUM(I173:J173)</f>
        <v/>
      </c>
      <c r="M173" s="49" t="n"/>
      <c r="N173" s="49" t="n"/>
      <c r="O173" s="49" t="n"/>
    </row>
    <row r="174">
      <c r="A174" s="49" t="n"/>
      <c r="B174" s="49" t="n"/>
      <c r="C174" s="36">
        <f>IFERROR(INDEX('Employee Database'!$B$3:$B$202,MATCH(B174,'Employee Database'!$A$3:$A$202,0)),"")</f>
        <v/>
      </c>
      <c r="D174" s="50" t="n"/>
      <c r="E174" s="50" t="n"/>
      <c r="F174" s="49" t="n"/>
      <c r="G174" s="49" t="n"/>
      <c r="H174" s="32">
        <f>IFERROR(INDEX('Employee Database'!$K$3:$K$202,MATCH(B174,'Employee Database'!$A$3:$A$202,0)),0)</f>
        <v/>
      </c>
      <c r="I174" s="32">
        <f>ROUND(F174*H174,2)</f>
        <v/>
      </c>
      <c r="J174" s="32">
        <f>ROUND(G174*H174*1.5,2)</f>
        <v/>
      </c>
      <c r="K174" s="36">
        <f>SUM(F174:G174)</f>
        <v/>
      </c>
      <c r="L174" s="32">
        <f>SUM(I174:J174)</f>
        <v/>
      </c>
      <c r="M174" s="49" t="n"/>
      <c r="N174" s="49" t="n"/>
      <c r="O174" s="49" t="n"/>
    </row>
    <row r="175">
      <c r="A175" s="49" t="n"/>
      <c r="B175" s="49" t="n"/>
      <c r="C175" s="36">
        <f>IFERROR(INDEX('Employee Database'!$B$3:$B$202,MATCH(B175,'Employee Database'!$A$3:$A$202,0)),"")</f>
        <v/>
      </c>
      <c r="D175" s="50" t="n"/>
      <c r="E175" s="50" t="n"/>
      <c r="F175" s="49" t="n"/>
      <c r="G175" s="49" t="n"/>
      <c r="H175" s="32">
        <f>IFERROR(INDEX('Employee Database'!$K$3:$K$202,MATCH(B175,'Employee Database'!$A$3:$A$202,0)),0)</f>
        <v/>
      </c>
      <c r="I175" s="32">
        <f>ROUND(F175*H175,2)</f>
        <v/>
      </c>
      <c r="J175" s="32">
        <f>ROUND(G175*H175*1.5,2)</f>
        <v/>
      </c>
      <c r="K175" s="36">
        <f>SUM(F175:G175)</f>
        <v/>
      </c>
      <c r="L175" s="32">
        <f>SUM(I175:J175)</f>
        <v/>
      </c>
      <c r="M175" s="49" t="n"/>
      <c r="N175" s="49" t="n"/>
      <c r="O175" s="49" t="n"/>
    </row>
    <row r="176">
      <c r="A176" s="49" t="n"/>
      <c r="B176" s="49" t="n"/>
      <c r="C176" s="36">
        <f>IFERROR(INDEX('Employee Database'!$B$3:$B$202,MATCH(B176,'Employee Database'!$A$3:$A$202,0)),"")</f>
        <v/>
      </c>
      <c r="D176" s="50" t="n"/>
      <c r="E176" s="50" t="n"/>
      <c r="F176" s="49" t="n"/>
      <c r="G176" s="49" t="n"/>
      <c r="H176" s="32">
        <f>IFERROR(INDEX('Employee Database'!$K$3:$K$202,MATCH(B176,'Employee Database'!$A$3:$A$202,0)),0)</f>
        <v/>
      </c>
      <c r="I176" s="32">
        <f>ROUND(F176*H176,2)</f>
        <v/>
      </c>
      <c r="J176" s="32">
        <f>ROUND(G176*H176*1.5,2)</f>
        <v/>
      </c>
      <c r="K176" s="36">
        <f>SUM(F176:G176)</f>
        <v/>
      </c>
      <c r="L176" s="32">
        <f>SUM(I176:J176)</f>
        <v/>
      </c>
      <c r="M176" s="49" t="n"/>
      <c r="N176" s="49" t="n"/>
      <c r="O176" s="49" t="n"/>
    </row>
    <row r="177">
      <c r="A177" s="49" t="n"/>
      <c r="B177" s="49" t="n"/>
      <c r="C177" s="36">
        <f>IFERROR(INDEX('Employee Database'!$B$3:$B$202,MATCH(B177,'Employee Database'!$A$3:$A$202,0)),"")</f>
        <v/>
      </c>
      <c r="D177" s="50" t="n"/>
      <c r="E177" s="50" t="n"/>
      <c r="F177" s="49" t="n"/>
      <c r="G177" s="49" t="n"/>
      <c r="H177" s="32">
        <f>IFERROR(INDEX('Employee Database'!$K$3:$K$202,MATCH(B177,'Employee Database'!$A$3:$A$202,0)),0)</f>
        <v/>
      </c>
      <c r="I177" s="32">
        <f>ROUND(F177*H177,2)</f>
        <v/>
      </c>
      <c r="J177" s="32">
        <f>ROUND(G177*H177*1.5,2)</f>
        <v/>
      </c>
      <c r="K177" s="36">
        <f>SUM(F177:G177)</f>
        <v/>
      </c>
      <c r="L177" s="32">
        <f>SUM(I177:J177)</f>
        <v/>
      </c>
      <c r="M177" s="49" t="n"/>
      <c r="N177" s="49" t="n"/>
      <c r="O177" s="49" t="n"/>
    </row>
    <row r="178">
      <c r="A178" s="49" t="n"/>
      <c r="B178" s="49" t="n"/>
      <c r="C178" s="36">
        <f>IFERROR(INDEX('Employee Database'!$B$3:$B$202,MATCH(B178,'Employee Database'!$A$3:$A$202,0)),"")</f>
        <v/>
      </c>
      <c r="D178" s="50" t="n"/>
      <c r="E178" s="50" t="n"/>
      <c r="F178" s="49" t="n"/>
      <c r="G178" s="49" t="n"/>
      <c r="H178" s="32">
        <f>IFERROR(INDEX('Employee Database'!$K$3:$K$202,MATCH(B178,'Employee Database'!$A$3:$A$202,0)),0)</f>
        <v/>
      </c>
      <c r="I178" s="32">
        <f>ROUND(F178*H178,2)</f>
        <v/>
      </c>
      <c r="J178" s="32">
        <f>ROUND(G178*H178*1.5,2)</f>
        <v/>
      </c>
      <c r="K178" s="36">
        <f>SUM(F178:G178)</f>
        <v/>
      </c>
      <c r="L178" s="32">
        <f>SUM(I178:J178)</f>
        <v/>
      </c>
      <c r="M178" s="49" t="n"/>
      <c r="N178" s="49" t="n"/>
      <c r="O178" s="49" t="n"/>
    </row>
    <row r="179">
      <c r="A179" s="49" t="n"/>
      <c r="B179" s="49" t="n"/>
      <c r="C179" s="36">
        <f>IFERROR(INDEX('Employee Database'!$B$3:$B$202,MATCH(B179,'Employee Database'!$A$3:$A$202,0)),"")</f>
        <v/>
      </c>
      <c r="D179" s="50" t="n"/>
      <c r="E179" s="50" t="n"/>
      <c r="F179" s="49" t="n"/>
      <c r="G179" s="49" t="n"/>
      <c r="H179" s="32">
        <f>IFERROR(INDEX('Employee Database'!$K$3:$K$202,MATCH(B179,'Employee Database'!$A$3:$A$202,0)),0)</f>
        <v/>
      </c>
      <c r="I179" s="32">
        <f>ROUND(F179*H179,2)</f>
        <v/>
      </c>
      <c r="J179" s="32">
        <f>ROUND(G179*H179*1.5,2)</f>
        <v/>
      </c>
      <c r="K179" s="36">
        <f>SUM(F179:G179)</f>
        <v/>
      </c>
      <c r="L179" s="32">
        <f>SUM(I179:J179)</f>
        <v/>
      </c>
      <c r="M179" s="49" t="n"/>
      <c r="N179" s="49" t="n"/>
      <c r="O179" s="49" t="n"/>
    </row>
    <row r="180">
      <c r="A180" s="49" t="n"/>
      <c r="B180" s="49" t="n"/>
      <c r="C180" s="36">
        <f>IFERROR(INDEX('Employee Database'!$B$3:$B$202,MATCH(B180,'Employee Database'!$A$3:$A$202,0)),"")</f>
        <v/>
      </c>
      <c r="D180" s="50" t="n"/>
      <c r="E180" s="50" t="n"/>
      <c r="F180" s="49" t="n"/>
      <c r="G180" s="49" t="n"/>
      <c r="H180" s="32">
        <f>IFERROR(INDEX('Employee Database'!$K$3:$K$202,MATCH(B180,'Employee Database'!$A$3:$A$202,0)),0)</f>
        <v/>
      </c>
      <c r="I180" s="32">
        <f>ROUND(F180*H180,2)</f>
        <v/>
      </c>
      <c r="J180" s="32">
        <f>ROUND(G180*H180*1.5,2)</f>
        <v/>
      </c>
      <c r="K180" s="36">
        <f>SUM(F180:G180)</f>
        <v/>
      </c>
      <c r="L180" s="32">
        <f>SUM(I180:J180)</f>
        <v/>
      </c>
      <c r="M180" s="49" t="n"/>
      <c r="N180" s="49" t="n"/>
      <c r="O180" s="49" t="n"/>
    </row>
    <row r="181">
      <c r="A181" s="49" t="n"/>
      <c r="B181" s="49" t="n"/>
      <c r="C181" s="36">
        <f>IFERROR(INDEX('Employee Database'!$B$3:$B$202,MATCH(B181,'Employee Database'!$A$3:$A$202,0)),"")</f>
        <v/>
      </c>
      <c r="D181" s="50" t="n"/>
      <c r="E181" s="50" t="n"/>
      <c r="F181" s="49" t="n"/>
      <c r="G181" s="49" t="n"/>
      <c r="H181" s="32">
        <f>IFERROR(INDEX('Employee Database'!$K$3:$K$202,MATCH(B181,'Employee Database'!$A$3:$A$202,0)),0)</f>
        <v/>
      </c>
      <c r="I181" s="32">
        <f>ROUND(F181*H181,2)</f>
        <v/>
      </c>
      <c r="J181" s="32">
        <f>ROUND(G181*H181*1.5,2)</f>
        <v/>
      </c>
      <c r="K181" s="36">
        <f>SUM(F181:G181)</f>
        <v/>
      </c>
      <c r="L181" s="32">
        <f>SUM(I181:J181)</f>
        <v/>
      </c>
      <c r="M181" s="49" t="n"/>
      <c r="N181" s="49" t="n"/>
      <c r="O181" s="49" t="n"/>
    </row>
    <row r="182">
      <c r="A182" s="49" t="n"/>
      <c r="B182" s="49" t="n"/>
      <c r="C182" s="36">
        <f>IFERROR(INDEX('Employee Database'!$B$3:$B$202,MATCH(B182,'Employee Database'!$A$3:$A$202,0)),"")</f>
        <v/>
      </c>
      <c r="D182" s="50" t="n"/>
      <c r="E182" s="50" t="n"/>
      <c r="F182" s="49" t="n"/>
      <c r="G182" s="49" t="n"/>
      <c r="H182" s="32">
        <f>IFERROR(INDEX('Employee Database'!$K$3:$K$202,MATCH(B182,'Employee Database'!$A$3:$A$202,0)),0)</f>
        <v/>
      </c>
      <c r="I182" s="32">
        <f>ROUND(F182*H182,2)</f>
        <v/>
      </c>
      <c r="J182" s="32">
        <f>ROUND(G182*H182*1.5,2)</f>
        <v/>
      </c>
      <c r="K182" s="36">
        <f>SUM(F182:G182)</f>
        <v/>
      </c>
      <c r="L182" s="32">
        <f>SUM(I182:J182)</f>
        <v/>
      </c>
      <c r="M182" s="49" t="n"/>
      <c r="N182" s="49" t="n"/>
      <c r="O182" s="49" t="n"/>
    </row>
    <row r="183">
      <c r="A183" s="49" t="n"/>
      <c r="B183" s="49" t="n"/>
      <c r="C183" s="36">
        <f>IFERROR(INDEX('Employee Database'!$B$3:$B$202,MATCH(B183,'Employee Database'!$A$3:$A$202,0)),"")</f>
        <v/>
      </c>
      <c r="D183" s="50" t="n"/>
      <c r="E183" s="50" t="n"/>
      <c r="F183" s="49" t="n"/>
      <c r="G183" s="49" t="n"/>
      <c r="H183" s="32">
        <f>IFERROR(INDEX('Employee Database'!$K$3:$K$202,MATCH(B183,'Employee Database'!$A$3:$A$202,0)),0)</f>
        <v/>
      </c>
      <c r="I183" s="32">
        <f>ROUND(F183*H183,2)</f>
        <v/>
      </c>
      <c r="J183" s="32">
        <f>ROUND(G183*H183*1.5,2)</f>
        <v/>
      </c>
      <c r="K183" s="36">
        <f>SUM(F183:G183)</f>
        <v/>
      </c>
      <c r="L183" s="32">
        <f>SUM(I183:J183)</f>
        <v/>
      </c>
      <c r="M183" s="49" t="n"/>
      <c r="N183" s="49" t="n"/>
      <c r="O183" s="49" t="n"/>
    </row>
    <row r="184">
      <c r="A184" s="49" t="n"/>
      <c r="B184" s="49" t="n"/>
      <c r="C184" s="36">
        <f>IFERROR(INDEX('Employee Database'!$B$3:$B$202,MATCH(B184,'Employee Database'!$A$3:$A$202,0)),"")</f>
        <v/>
      </c>
      <c r="D184" s="50" t="n"/>
      <c r="E184" s="50" t="n"/>
      <c r="F184" s="49" t="n"/>
      <c r="G184" s="49" t="n"/>
      <c r="H184" s="32">
        <f>IFERROR(INDEX('Employee Database'!$K$3:$K$202,MATCH(B184,'Employee Database'!$A$3:$A$202,0)),0)</f>
        <v/>
      </c>
      <c r="I184" s="32">
        <f>ROUND(F184*H184,2)</f>
        <v/>
      </c>
      <c r="J184" s="32">
        <f>ROUND(G184*H184*1.5,2)</f>
        <v/>
      </c>
      <c r="K184" s="36">
        <f>SUM(F184:G184)</f>
        <v/>
      </c>
      <c r="L184" s="32">
        <f>SUM(I184:J184)</f>
        <v/>
      </c>
      <c r="M184" s="49" t="n"/>
      <c r="N184" s="49" t="n"/>
      <c r="O184" s="49" t="n"/>
    </row>
    <row r="185">
      <c r="A185" s="49" t="n"/>
      <c r="B185" s="49" t="n"/>
      <c r="C185" s="36">
        <f>IFERROR(INDEX('Employee Database'!$B$3:$B$202,MATCH(B185,'Employee Database'!$A$3:$A$202,0)),"")</f>
        <v/>
      </c>
      <c r="D185" s="50" t="n"/>
      <c r="E185" s="50" t="n"/>
      <c r="F185" s="49" t="n"/>
      <c r="G185" s="49" t="n"/>
      <c r="H185" s="32">
        <f>IFERROR(INDEX('Employee Database'!$K$3:$K$202,MATCH(B185,'Employee Database'!$A$3:$A$202,0)),0)</f>
        <v/>
      </c>
      <c r="I185" s="32">
        <f>ROUND(F185*H185,2)</f>
        <v/>
      </c>
      <c r="J185" s="32">
        <f>ROUND(G185*H185*1.5,2)</f>
        <v/>
      </c>
      <c r="K185" s="36">
        <f>SUM(F185:G185)</f>
        <v/>
      </c>
      <c r="L185" s="32">
        <f>SUM(I185:J185)</f>
        <v/>
      </c>
      <c r="M185" s="49" t="n"/>
      <c r="N185" s="49" t="n"/>
      <c r="O185" s="49" t="n"/>
    </row>
    <row r="186">
      <c r="A186" s="49" t="n"/>
      <c r="B186" s="49" t="n"/>
      <c r="C186" s="36">
        <f>IFERROR(INDEX('Employee Database'!$B$3:$B$202,MATCH(B186,'Employee Database'!$A$3:$A$202,0)),"")</f>
        <v/>
      </c>
      <c r="D186" s="50" t="n"/>
      <c r="E186" s="50" t="n"/>
      <c r="F186" s="49" t="n"/>
      <c r="G186" s="49" t="n"/>
      <c r="H186" s="32">
        <f>IFERROR(INDEX('Employee Database'!$K$3:$K$202,MATCH(B186,'Employee Database'!$A$3:$A$202,0)),0)</f>
        <v/>
      </c>
      <c r="I186" s="32">
        <f>ROUND(F186*H186,2)</f>
        <v/>
      </c>
      <c r="J186" s="32">
        <f>ROUND(G186*H186*1.5,2)</f>
        <v/>
      </c>
      <c r="K186" s="36">
        <f>SUM(F186:G186)</f>
        <v/>
      </c>
      <c r="L186" s="32">
        <f>SUM(I186:J186)</f>
        <v/>
      </c>
      <c r="M186" s="49" t="n"/>
      <c r="N186" s="49" t="n"/>
      <c r="O186" s="49" t="n"/>
    </row>
    <row r="187">
      <c r="A187" s="49" t="n"/>
      <c r="B187" s="49" t="n"/>
      <c r="C187" s="36">
        <f>IFERROR(INDEX('Employee Database'!$B$3:$B$202,MATCH(B187,'Employee Database'!$A$3:$A$202,0)),"")</f>
        <v/>
      </c>
      <c r="D187" s="50" t="n"/>
      <c r="E187" s="50" t="n"/>
      <c r="F187" s="49" t="n"/>
      <c r="G187" s="49" t="n"/>
      <c r="H187" s="32">
        <f>IFERROR(INDEX('Employee Database'!$K$3:$K$202,MATCH(B187,'Employee Database'!$A$3:$A$202,0)),0)</f>
        <v/>
      </c>
      <c r="I187" s="32">
        <f>ROUND(F187*H187,2)</f>
        <v/>
      </c>
      <c r="J187" s="32">
        <f>ROUND(G187*H187*1.5,2)</f>
        <v/>
      </c>
      <c r="K187" s="36">
        <f>SUM(F187:G187)</f>
        <v/>
      </c>
      <c r="L187" s="32">
        <f>SUM(I187:J187)</f>
        <v/>
      </c>
      <c r="M187" s="49" t="n"/>
      <c r="N187" s="49" t="n"/>
      <c r="O187" s="49" t="n"/>
    </row>
    <row r="188">
      <c r="A188" s="49" t="n"/>
      <c r="B188" s="49" t="n"/>
      <c r="C188" s="36">
        <f>IFERROR(INDEX('Employee Database'!$B$3:$B$202,MATCH(B188,'Employee Database'!$A$3:$A$202,0)),"")</f>
        <v/>
      </c>
      <c r="D188" s="50" t="n"/>
      <c r="E188" s="50" t="n"/>
      <c r="F188" s="49" t="n"/>
      <c r="G188" s="49" t="n"/>
      <c r="H188" s="32">
        <f>IFERROR(INDEX('Employee Database'!$K$3:$K$202,MATCH(B188,'Employee Database'!$A$3:$A$202,0)),0)</f>
        <v/>
      </c>
      <c r="I188" s="32">
        <f>ROUND(F188*H188,2)</f>
        <v/>
      </c>
      <c r="J188" s="32">
        <f>ROUND(G188*H188*1.5,2)</f>
        <v/>
      </c>
      <c r="K188" s="36">
        <f>SUM(F188:G188)</f>
        <v/>
      </c>
      <c r="L188" s="32">
        <f>SUM(I188:J188)</f>
        <v/>
      </c>
      <c r="M188" s="49" t="n"/>
      <c r="N188" s="49" t="n"/>
      <c r="O188" s="49" t="n"/>
    </row>
    <row r="189">
      <c r="A189" s="49" t="n"/>
      <c r="B189" s="49" t="n"/>
      <c r="C189" s="36">
        <f>IFERROR(INDEX('Employee Database'!$B$3:$B$202,MATCH(B189,'Employee Database'!$A$3:$A$202,0)),"")</f>
        <v/>
      </c>
      <c r="D189" s="50" t="n"/>
      <c r="E189" s="50" t="n"/>
      <c r="F189" s="49" t="n"/>
      <c r="G189" s="49" t="n"/>
      <c r="H189" s="32">
        <f>IFERROR(INDEX('Employee Database'!$K$3:$K$202,MATCH(B189,'Employee Database'!$A$3:$A$202,0)),0)</f>
        <v/>
      </c>
      <c r="I189" s="32">
        <f>ROUND(F189*H189,2)</f>
        <v/>
      </c>
      <c r="J189" s="32">
        <f>ROUND(G189*H189*1.5,2)</f>
        <v/>
      </c>
      <c r="K189" s="36">
        <f>SUM(F189:G189)</f>
        <v/>
      </c>
      <c r="L189" s="32">
        <f>SUM(I189:J189)</f>
        <v/>
      </c>
      <c r="M189" s="49" t="n"/>
      <c r="N189" s="49" t="n"/>
      <c r="O189" s="49" t="n"/>
    </row>
    <row r="190">
      <c r="A190" s="49" t="n"/>
      <c r="B190" s="49" t="n"/>
      <c r="C190" s="36">
        <f>IFERROR(INDEX('Employee Database'!$B$3:$B$202,MATCH(B190,'Employee Database'!$A$3:$A$202,0)),"")</f>
        <v/>
      </c>
      <c r="D190" s="50" t="n"/>
      <c r="E190" s="50" t="n"/>
      <c r="F190" s="49" t="n"/>
      <c r="G190" s="49" t="n"/>
      <c r="H190" s="32">
        <f>IFERROR(INDEX('Employee Database'!$K$3:$K$202,MATCH(B190,'Employee Database'!$A$3:$A$202,0)),0)</f>
        <v/>
      </c>
      <c r="I190" s="32">
        <f>ROUND(F190*H190,2)</f>
        <v/>
      </c>
      <c r="J190" s="32">
        <f>ROUND(G190*H190*1.5,2)</f>
        <v/>
      </c>
      <c r="K190" s="36">
        <f>SUM(F190:G190)</f>
        <v/>
      </c>
      <c r="L190" s="32">
        <f>SUM(I190:J190)</f>
        <v/>
      </c>
      <c r="M190" s="49" t="n"/>
      <c r="N190" s="49" t="n"/>
      <c r="O190" s="49" t="n"/>
    </row>
    <row r="191">
      <c r="A191" s="49" t="n"/>
      <c r="B191" s="49" t="n"/>
      <c r="C191" s="36">
        <f>IFERROR(INDEX('Employee Database'!$B$3:$B$202,MATCH(B191,'Employee Database'!$A$3:$A$202,0)),"")</f>
        <v/>
      </c>
      <c r="D191" s="50" t="n"/>
      <c r="E191" s="50" t="n"/>
      <c r="F191" s="49" t="n"/>
      <c r="G191" s="49" t="n"/>
      <c r="H191" s="32">
        <f>IFERROR(INDEX('Employee Database'!$K$3:$K$202,MATCH(B191,'Employee Database'!$A$3:$A$202,0)),0)</f>
        <v/>
      </c>
      <c r="I191" s="32">
        <f>ROUND(F191*H191,2)</f>
        <v/>
      </c>
      <c r="J191" s="32">
        <f>ROUND(G191*H191*1.5,2)</f>
        <v/>
      </c>
      <c r="K191" s="36">
        <f>SUM(F191:G191)</f>
        <v/>
      </c>
      <c r="L191" s="32">
        <f>SUM(I191:J191)</f>
        <v/>
      </c>
      <c r="M191" s="49" t="n"/>
      <c r="N191" s="49" t="n"/>
      <c r="O191" s="49" t="n"/>
    </row>
    <row r="192">
      <c r="A192" s="49" t="n"/>
      <c r="B192" s="49" t="n"/>
      <c r="C192" s="36">
        <f>IFERROR(INDEX('Employee Database'!$B$3:$B$202,MATCH(B192,'Employee Database'!$A$3:$A$202,0)),"")</f>
        <v/>
      </c>
      <c r="D192" s="50" t="n"/>
      <c r="E192" s="50" t="n"/>
      <c r="F192" s="49" t="n"/>
      <c r="G192" s="49" t="n"/>
      <c r="H192" s="32">
        <f>IFERROR(INDEX('Employee Database'!$K$3:$K$202,MATCH(B192,'Employee Database'!$A$3:$A$202,0)),0)</f>
        <v/>
      </c>
      <c r="I192" s="32">
        <f>ROUND(F192*H192,2)</f>
        <v/>
      </c>
      <c r="J192" s="32">
        <f>ROUND(G192*H192*1.5,2)</f>
        <v/>
      </c>
      <c r="K192" s="36">
        <f>SUM(F192:G192)</f>
        <v/>
      </c>
      <c r="L192" s="32">
        <f>SUM(I192:J192)</f>
        <v/>
      </c>
      <c r="M192" s="49" t="n"/>
      <c r="N192" s="49" t="n"/>
      <c r="O192" s="49" t="n"/>
    </row>
    <row r="193">
      <c r="A193" s="49" t="n"/>
      <c r="B193" s="49" t="n"/>
      <c r="C193" s="36">
        <f>IFERROR(INDEX('Employee Database'!$B$3:$B$202,MATCH(B193,'Employee Database'!$A$3:$A$202,0)),"")</f>
        <v/>
      </c>
      <c r="D193" s="50" t="n"/>
      <c r="E193" s="50" t="n"/>
      <c r="F193" s="49" t="n"/>
      <c r="G193" s="49" t="n"/>
      <c r="H193" s="32">
        <f>IFERROR(INDEX('Employee Database'!$K$3:$K$202,MATCH(B193,'Employee Database'!$A$3:$A$202,0)),0)</f>
        <v/>
      </c>
      <c r="I193" s="32">
        <f>ROUND(F193*H193,2)</f>
        <v/>
      </c>
      <c r="J193" s="32">
        <f>ROUND(G193*H193*1.5,2)</f>
        <v/>
      </c>
      <c r="K193" s="36">
        <f>SUM(F193:G193)</f>
        <v/>
      </c>
      <c r="L193" s="32">
        <f>SUM(I193:J193)</f>
        <v/>
      </c>
      <c r="M193" s="49" t="n"/>
      <c r="N193" s="49" t="n"/>
      <c r="O193" s="49" t="n"/>
    </row>
    <row r="194">
      <c r="A194" s="49" t="n"/>
      <c r="B194" s="49" t="n"/>
      <c r="C194" s="36">
        <f>IFERROR(INDEX('Employee Database'!$B$3:$B$202,MATCH(B194,'Employee Database'!$A$3:$A$202,0)),"")</f>
        <v/>
      </c>
      <c r="D194" s="50" t="n"/>
      <c r="E194" s="50" t="n"/>
      <c r="F194" s="49" t="n"/>
      <c r="G194" s="49" t="n"/>
      <c r="H194" s="32">
        <f>IFERROR(INDEX('Employee Database'!$K$3:$K$202,MATCH(B194,'Employee Database'!$A$3:$A$202,0)),0)</f>
        <v/>
      </c>
      <c r="I194" s="32">
        <f>ROUND(F194*H194,2)</f>
        <v/>
      </c>
      <c r="J194" s="32">
        <f>ROUND(G194*H194*1.5,2)</f>
        <v/>
      </c>
      <c r="K194" s="36">
        <f>SUM(F194:G194)</f>
        <v/>
      </c>
      <c r="L194" s="32">
        <f>SUM(I194:J194)</f>
        <v/>
      </c>
      <c r="M194" s="49" t="n"/>
      <c r="N194" s="49" t="n"/>
      <c r="O194" s="49" t="n"/>
    </row>
    <row r="195">
      <c r="A195" s="49" t="n"/>
      <c r="B195" s="49" t="n"/>
      <c r="C195" s="36">
        <f>IFERROR(INDEX('Employee Database'!$B$3:$B$202,MATCH(B195,'Employee Database'!$A$3:$A$202,0)),"")</f>
        <v/>
      </c>
      <c r="D195" s="50" t="n"/>
      <c r="E195" s="50" t="n"/>
      <c r="F195" s="49" t="n"/>
      <c r="G195" s="49" t="n"/>
      <c r="H195" s="32">
        <f>IFERROR(INDEX('Employee Database'!$K$3:$K$202,MATCH(B195,'Employee Database'!$A$3:$A$202,0)),0)</f>
        <v/>
      </c>
      <c r="I195" s="32">
        <f>ROUND(F195*H195,2)</f>
        <v/>
      </c>
      <c r="J195" s="32">
        <f>ROUND(G195*H195*1.5,2)</f>
        <v/>
      </c>
      <c r="K195" s="36">
        <f>SUM(F195:G195)</f>
        <v/>
      </c>
      <c r="L195" s="32">
        <f>SUM(I195:J195)</f>
        <v/>
      </c>
      <c r="M195" s="49" t="n"/>
      <c r="N195" s="49" t="n"/>
      <c r="O195" s="49" t="n"/>
    </row>
    <row r="196">
      <c r="A196" s="49" t="n"/>
      <c r="B196" s="49" t="n"/>
      <c r="C196" s="36">
        <f>IFERROR(INDEX('Employee Database'!$B$3:$B$202,MATCH(B196,'Employee Database'!$A$3:$A$202,0)),"")</f>
        <v/>
      </c>
      <c r="D196" s="50" t="n"/>
      <c r="E196" s="50" t="n"/>
      <c r="F196" s="49" t="n"/>
      <c r="G196" s="49" t="n"/>
      <c r="H196" s="32">
        <f>IFERROR(INDEX('Employee Database'!$K$3:$K$202,MATCH(B196,'Employee Database'!$A$3:$A$202,0)),0)</f>
        <v/>
      </c>
      <c r="I196" s="32">
        <f>ROUND(F196*H196,2)</f>
        <v/>
      </c>
      <c r="J196" s="32">
        <f>ROUND(G196*H196*1.5,2)</f>
        <v/>
      </c>
      <c r="K196" s="36">
        <f>SUM(F196:G196)</f>
        <v/>
      </c>
      <c r="L196" s="32">
        <f>SUM(I196:J196)</f>
        <v/>
      </c>
      <c r="M196" s="49" t="n"/>
      <c r="N196" s="49" t="n"/>
      <c r="O196" s="49" t="n"/>
    </row>
    <row r="197">
      <c r="A197" s="49" t="n"/>
      <c r="B197" s="49" t="n"/>
      <c r="C197" s="36">
        <f>IFERROR(INDEX('Employee Database'!$B$3:$B$202,MATCH(B197,'Employee Database'!$A$3:$A$202,0)),"")</f>
        <v/>
      </c>
      <c r="D197" s="50" t="n"/>
      <c r="E197" s="50" t="n"/>
      <c r="F197" s="49" t="n"/>
      <c r="G197" s="49" t="n"/>
      <c r="H197" s="32">
        <f>IFERROR(INDEX('Employee Database'!$K$3:$K$202,MATCH(B197,'Employee Database'!$A$3:$A$202,0)),0)</f>
        <v/>
      </c>
      <c r="I197" s="32">
        <f>ROUND(F197*H197,2)</f>
        <v/>
      </c>
      <c r="J197" s="32">
        <f>ROUND(G197*H197*1.5,2)</f>
        <v/>
      </c>
      <c r="K197" s="36">
        <f>SUM(F197:G197)</f>
        <v/>
      </c>
      <c r="L197" s="32">
        <f>SUM(I197:J197)</f>
        <v/>
      </c>
      <c r="M197" s="49" t="n"/>
      <c r="N197" s="49" t="n"/>
      <c r="O197" s="49" t="n"/>
    </row>
    <row r="198">
      <c r="A198" s="49" t="n"/>
      <c r="B198" s="49" t="n"/>
      <c r="C198" s="36">
        <f>IFERROR(INDEX('Employee Database'!$B$3:$B$202,MATCH(B198,'Employee Database'!$A$3:$A$202,0)),"")</f>
        <v/>
      </c>
      <c r="D198" s="50" t="n"/>
      <c r="E198" s="50" t="n"/>
      <c r="F198" s="49" t="n"/>
      <c r="G198" s="49" t="n"/>
      <c r="H198" s="32">
        <f>IFERROR(INDEX('Employee Database'!$K$3:$K$202,MATCH(B198,'Employee Database'!$A$3:$A$202,0)),0)</f>
        <v/>
      </c>
      <c r="I198" s="32">
        <f>ROUND(F198*H198,2)</f>
        <v/>
      </c>
      <c r="J198" s="32">
        <f>ROUND(G198*H198*1.5,2)</f>
        <v/>
      </c>
      <c r="K198" s="36">
        <f>SUM(F198:G198)</f>
        <v/>
      </c>
      <c r="L198" s="32">
        <f>SUM(I198:J198)</f>
        <v/>
      </c>
      <c r="M198" s="49" t="n"/>
      <c r="N198" s="49" t="n"/>
      <c r="O198" s="49" t="n"/>
    </row>
    <row r="199">
      <c r="A199" s="49" t="n"/>
      <c r="B199" s="49" t="n"/>
      <c r="C199" s="36">
        <f>IFERROR(INDEX('Employee Database'!$B$3:$B$202,MATCH(B199,'Employee Database'!$A$3:$A$202,0)),"")</f>
        <v/>
      </c>
      <c r="D199" s="50" t="n"/>
      <c r="E199" s="50" t="n"/>
      <c r="F199" s="49" t="n"/>
      <c r="G199" s="49" t="n"/>
      <c r="H199" s="32">
        <f>IFERROR(INDEX('Employee Database'!$K$3:$K$202,MATCH(B199,'Employee Database'!$A$3:$A$202,0)),0)</f>
        <v/>
      </c>
      <c r="I199" s="32">
        <f>ROUND(F199*H199,2)</f>
        <v/>
      </c>
      <c r="J199" s="32">
        <f>ROUND(G199*H199*1.5,2)</f>
        <v/>
      </c>
      <c r="K199" s="36">
        <f>SUM(F199:G199)</f>
        <v/>
      </c>
      <c r="L199" s="32">
        <f>SUM(I199:J199)</f>
        <v/>
      </c>
      <c r="M199" s="49" t="n"/>
      <c r="N199" s="49" t="n"/>
      <c r="O199" s="49" t="n"/>
    </row>
    <row r="200">
      <c r="A200" s="49" t="n"/>
      <c r="B200" s="49" t="n"/>
      <c r="C200" s="36">
        <f>IFERROR(INDEX('Employee Database'!$B$3:$B$202,MATCH(B200,'Employee Database'!$A$3:$A$202,0)),"")</f>
        <v/>
      </c>
      <c r="D200" s="50" t="n"/>
      <c r="E200" s="50" t="n"/>
      <c r="F200" s="49" t="n"/>
      <c r="G200" s="49" t="n"/>
      <c r="H200" s="32">
        <f>IFERROR(INDEX('Employee Database'!$K$3:$K$202,MATCH(B200,'Employee Database'!$A$3:$A$202,0)),0)</f>
        <v/>
      </c>
      <c r="I200" s="32">
        <f>ROUND(F200*H200,2)</f>
        <v/>
      </c>
      <c r="J200" s="32">
        <f>ROUND(G200*H200*1.5,2)</f>
        <v/>
      </c>
      <c r="K200" s="36">
        <f>SUM(F200:G200)</f>
        <v/>
      </c>
      <c r="L200" s="32">
        <f>SUM(I200:J200)</f>
        <v/>
      </c>
      <c r="M200" s="49" t="n"/>
      <c r="N200" s="49" t="n"/>
      <c r="O200" s="49" t="n"/>
    </row>
    <row r="201">
      <c r="A201" s="49" t="n"/>
      <c r="B201" s="49" t="n"/>
      <c r="C201" s="36">
        <f>IFERROR(INDEX('Employee Database'!$B$3:$B$202,MATCH(B201,'Employee Database'!$A$3:$A$202,0)),"")</f>
        <v/>
      </c>
      <c r="D201" s="50" t="n"/>
      <c r="E201" s="50" t="n"/>
      <c r="F201" s="49" t="n"/>
      <c r="G201" s="49" t="n"/>
      <c r="H201" s="32">
        <f>IFERROR(INDEX('Employee Database'!$K$3:$K$202,MATCH(B201,'Employee Database'!$A$3:$A$202,0)),0)</f>
        <v/>
      </c>
      <c r="I201" s="32">
        <f>ROUND(F201*H201,2)</f>
        <v/>
      </c>
      <c r="J201" s="32">
        <f>ROUND(G201*H201*1.5,2)</f>
        <v/>
      </c>
      <c r="K201" s="36">
        <f>SUM(F201:G201)</f>
        <v/>
      </c>
      <c r="L201" s="32">
        <f>SUM(I201:J201)</f>
        <v/>
      </c>
      <c r="M201" s="49" t="n"/>
      <c r="N201" s="49" t="n"/>
      <c r="O201" s="49" t="n"/>
    </row>
    <row r="202">
      <c r="A202" s="49" t="n"/>
      <c r="B202" s="49" t="n"/>
      <c r="C202" s="36">
        <f>IFERROR(INDEX('Employee Database'!$B$3:$B$202,MATCH(B202,'Employee Database'!$A$3:$A$202,0)),"")</f>
        <v/>
      </c>
      <c r="D202" s="50" t="n"/>
      <c r="E202" s="50" t="n"/>
      <c r="F202" s="49" t="n"/>
      <c r="G202" s="49" t="n"/>
      <c r="H202" s="32">
        <f>IFERROR(INDEX('Employee Database'!$K$3:$K$202,MATCH(B202,'Employee Database'!$A$3:$A$202,0)),0)</f>
        <v/>
      </c>
      <c r="I202" s="32">
        <f>ROUND(F202*H202,2)</f>
        <v/>
      </c>
      <c r="J202" s="32">
        <f>ROUND(G202*H202*1.5,2)</f>
        <v/>
      </c>
      <c r="K202" s="36">
        <f>SUM(F202:G202)</f>
        <v/>
      </c>
      <c r="L202" s="32">
        <f>SUM(I202:J202)</f>
        <v/>
      </c>
      <c r="M202" s="49" t="n"/>
      <c r="N202" s="49" t="n"/>
      <c r="O202" s="49" t="n"/>
    </row>
  </sheetData>
  <mergeCells count="1">
    <mergeCell ref="A1:O1"/>
  </mergeCells>
  <dataValidations count="1">
    <dataValidation sqref="M3:M202" showDropDown="0" showInputMessage="0" showErrorMessage="0" allowBlank="1" type="list">
      <formula1>"Pending,Approved,Rejected"</formula1>
    </dataValidation>
  </dataValidations>
  <pageMargins left="0.3" right="0.3" top="0.5" bottom="0.5" header="0.5" footer="0.5"/>
  <pageSetup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17365D"/>
    <outlinePr summaryBelow="1" summaryRight="1"/>
    <pageSetUpPr fitToPage="1"/>
  </sheetPr>
  <dimension ref="A1:L202"/>
  <sheetViews>
    <sheetView showGridLines="0" zoomScale="85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24" customWidth="1" min="4" max="4"/>
    <col width="24" customWidth="1" min="5" max="5"/>
    <col width="24" customWidth="1" min="6" max="6"/>
    <col width="24" customWidth="1" min="7" max="7"/>
    <col width="18" customWidth="1" min="8" max="8"/>
    <col width="24" customWidth="1" min="9" max="9"/>
    <col width="20" customWidth="1" min="10" max="10"/>
    <col width="24" customWidth="1" min="11" max="11"/>
    <col width="30" customWidth="1" min="12" max="12"/>
  </cols>
  <sheetData>
    <row r="1">
      <c r="A1" s="37" t="inlineStr">
        <is>
          <t>AVERRA — PENSION TRACKER</t>
        </is>
      </c>
    </row>
    <row r="2" ht="32" customHeight="1">
      <c r="A2" s="33" t="inlineStr">
        <is>
          <t>Record ID</t>
        </is>
      </c>
      <c r="B2" s="33" t="inlineStr">
        <is>
          <t>Payroll Period</t>
        </is>
      </c>
      <c r="C2" s="33" t="inlineStr">
        <is>
          <t>Employee ID</t>
        </is>
      </c>
      <c r="D2" s="33" t="inlineStr">
        <is>
          <t>Employee Name</t>
        </is>
      </c>
      <c r="E2" s="33" t="inlineStr">
        <is>
          <t>Employee Contribution (GBP)</t>
        </is>
      </c>
      <c r="F2" s="33" t="inlineStr">
        <is>
          <t>Employer Contribution (GBP)</t>
        </is>
      </c>
      <c r="G2" s="33" t="inlineStr">
        <is>
          <t>Total Contribution (GBP)</t>
        </is>
      </c>
      <c r="H2" s="33" t="inlineStr">
        <is>
          <t>Payment Date</t>
        </is>
      </c>
      <c r="I2" s="33" t="inlineStr">
        <is>
          <t>Provider / Scheme</t>
        </is>
      </c>
      <c r="J2" s="33" t="inlineStr">
        <is>
          <t>Remittance Status</t>
        </is>
      </c>
      <c r="K2" s="33" t="inlineStr">
        <is>
          <t>Reference</t>
        </is>
      </c>
      <c r="L2" s="33" t="inlineStr">
        <is>
          <t>Notes</t>
        </is>
      </c>
    </row>
    <row r="3">
      <c r="A3" s="49" t="n"/>
      <c r="B3" s="49" t="n"/>
      <c r="C3" s="49" t="n"/>
      <c r="D3" s="36">
        <f>IFERROR(INDEX('Employee Database'!$B$3:$B$202,MATCH(C3,'Employee Database'!$A$3:$A$202,0)),"")</f>
        <v/>
      </c>
      <c r="E3" s="51" t="n"/>
      <c r="F3" s="51" t="n"/>
      <c r="G3" s="32">
        <f>SUM(E3:F3)</f>
        <v/>
      </c>
      <c r="H3" s="50" t="n"/>
      <c r="I3" s="49" t="n"/>
      <c r="J3" s="49" t="n"/>
      <c r="K3" s="49" t="n"/>
      <c r="L3" s="49" t="n"/>
    </row>
    <row r="4">
      <c r="A4" s="49" t="n"/>
      <c r="B4" s="49" t="n"/>
      <c r="C4" s="49" t="n"/>
      <c r="D4" s="36">
        <f>IFERROR(INDEX('Employee Database'!$B$3:$B$202,MATCH(C4,'Employee Database'!$A$3:$A$202,0)),"")</f>
        <v/>
      </c>
      <c r="E4" s="51" t="n"/>
      <c r="F4" s="51" t="n"/>
      <c r="G4" s="32">
        <f>SUM(E4:F4)</f>
        <v/>
      </c>
      <c r="H4" s="50" t="n"/>
      <c r="I4" s="49" t="n"/>
      <c r="J4" s="49" t="n"/>
      <c r="K4" s="49" t="n"/>
      <c r="L4" s="49" t="n"/>
    </row>
    <row r="5">
      <c r="A5" s="49" t="n"/>
      <c r="B5" s="49" t="n"/>
      <c r="C5" s="49" t="n"/>
      <c r="D5" s="36">
        <f>IFERROR(INDEX('Employee Database'!$B$3:$B$202,MATCH(C5,'Employee Database'!$A$3:$A$202,0)),"")</f>
        <v/>
      </c>
      <c r="E5" s="51" t="n"/>
      <c r="F5" s="51" t="n"/>
      <c r="G5" s="32">
        <f>SUM(E5:F5)</f>
        <v/>
      </c>
      <c r="H5" s="50" t="n"/>
      <c r="I5" s="49" t="n"/>
      <c r="J5" s="49" t="n"/>
      <c r="K5" s="49" t="n"/>
      <c r="L5" s="49" t="n"/>
    </row>
    <row r="6">
      <c r="A6" s="49" t="n"/>
      <c r="B6" s="49" t="n"/>
      <c r="C6" s="49" t="n"/>
      <c r="D6" s="36">
        <f>IFERROR(INDEX('Employee Database'!$B$3:$B$202,MATCH(C6,'Employee Database'!$A$3:$A$202,0)),"")</f>
        <v/>
      </c>
      <c r="E6" s="51" t="n"/>
      <c r="F6" s="51" t="n"/>
      <c r="G6" s="32">
        <f>SUM(E6:F6)</f>
        <v/>
      </c>
      <c r="H6" s="50" t="n"/>
      <c r="I6" s="49" t="n"/>
      <c r="J6" s="49" t="n"/>
      <c r="K6" s="49" t="n"/>
      <c r="L6" s="49" t="n"/>
    </row>
    <row r="7">
      <c r="A7" s="49" t="n"/>
      <c r="B7" s="49" t="n"/>
      <c r="C7" s="49" t="n"/>
      <c r="D7" s="36">
        <f>IFERROR(INDEX('Employee Database'!$B$3:$B$202,MATCH(C7,'Employee Database'!$A$3:$A$202,0)),"")</f>
        <v/>
      </c>
      <c r="E7" s="51" t="n"/>
      <c r="F7" s="51" t="n"/>
      <c r="G7" s="32">
        <f>SUM(E7:F7)</f>
        <v/>
      </c>
      <c r="H7" s="50" t="n"/>
      <c r="I7" s="49" t="n"/>
      <c r="J7" s="49" t="n"/>
      <c r="K7" s="49" t="n"/>
      <c r="L7" s="49" t="n"/>
    </row>
    <row r="8">
      <c r="A8" s="49" t="n"/>
      <c r="B8" s="49" t="n"/>
      <c r="C8" s="49" t="n"/>
      <c r="D8" s="36">
        <f>IFERROR(INDEX('Employee Database'!$B$3:$B$202,MATCH(C8,'Employee Database'!$A$3:$A$202,0)),"")</f>
        <v/>
      </c>
      <c r="E8" s="51" t="n"/>
      <c r="F8" s="51" t="n"/>
      <c r="G8" s="32">
        <f>SUM(E8:F8)</f>
        <v/>
      </c>
      <c r="H8" s="50" t="n"/>
      <c r="I8" s="49" t="n"/>
      <c r="J8" s="49" t="n"/>
      <c r="K8" s="49" t="n"/>
      <c r="L8" s="49" t="n"/>
    </row>
    <row r="9">
      <c r="A9" s="49" t="n"/>
      <c r="B9" s="49" t="n"/>
      <c r="C9" s="49" t="n"/>
      <c r="D9" s="36">
        <f>IFERROR(INDEX('Employee Database'!$B$3:$B$202,MATCH(C9,'Employee Database'!$A$3:$A$202,0)),"")</f>
        <v/>
      </c>
      <c r="E9" s="51" t="n"/>
      <c r="F9" s="51" t="n"/>
      <c r="G9" s="32">
        <f>SUM(E9:F9)</f>
        <v/>
      </c>
      <c r="H9" s="50" t="n"/>
      <c r="I9" s="49" t="n"/>
      <c r="J9" s="49" t="n"/>
      <c r="K9" s="49" t="n"/>
      <c r="L9" s="49" t="n"/>
    </row>
    <row r="10">
      <c r="A10" s="49" t="n"/>
      <c r="B10" s="49" t="n"/>
      <c r="C10" s="49" t="n"/>
      <c r="D10" s="36">
        <f>IFERROR(INDEX('Employee Database'!$B$3:$B$202,MATCH(C10,'Employee Database'!$A$3:$A$202,0)),"")</f>
        <v/>
      </c>
      <c r="E10" s="51" t="n"/>
      <c r="F10" s="51" t="n"/>
      <c r="G10" s="32">
        <f>SUM(E10:F10)</f>
        <v/>
      </c>
      <c r="H10" s="50" t="n"/>
      <c r="I10" s="49" t="n"/>
      <c r="J10" s="49" t="n"/>
      <c r="K10" s="49" t="n"/>
      <c r="L10" s="49" t="n"/>
    </row>
    <row r="11">
      <c r="A11" s="49" t="n"/>
      <c r="B11" s="49" t="n"/>
      <c r="C11" s="49" t="n"/>
      <c r="D11" s="36">
        <f>IFERROR(INDEX('Employee Database'!$B$3:$B$202,MATCH(C11,'Employee Database'!$A$3:$A$202,0)),"")</f>
        <v/>
      </c>
      <c r="E11" s="51" t="n"/>
      <c r="F11" s="51" t="n"/>
      <c r="G11" s="32">
        <f>SUM(E11:F11)</f>
        <v/>
      </c>
      <c r="H11" s="50" t="n"/>
      <c r="I11" s="49" t="n"/>
      <c r="J11" s="49" t="n"/>
      <c r="K11" s="49" t="n"/>
      <c r="L11" s="49" t="n"/>
    </row>
    <row r="12">
      <c r="A12" s="49" t="n"/>
      <c r="B12" s="49" t="n"/>
      <c r="C12" s="49" t="n"/>
      <c r="D12" s="36">
        <f>IFERROR(INDEX('Employee Database'!$B$3:$B$202,MATCH(C12,'Employee Database'!$A$3:$A$202,0)),"")</f>
        <v/>
      </c>
      <c r="E12" s="51" t="n"/>
      <c r="F12" s="51" t="n"/>
      <c r="G12" s="32">
        <f>SUM(E12:F12)</f>
        <v/>
      </c>
      <c r="H12" s="50" t="n"/>
      <c r="I12" s="49" t="n"/>
      <c r="J12" s="49" t="n"/>
      <c r="K12" s="49" t="n"/>
      <c r="L12" s="49" t="n"/>
    </row>
    <row r="13">
      <c r="A13" s="49" t="n"/>
      <c r="B13" s="49" t="n"/>
      <c r="C13" s="49" t="n"/>
      <c r="D13" s="36">
        <f>IFERROR(INDEX('Employee Database'!$B$3:$B$202,MATCH(C13,'Employee Database'!$A$3:$A$202,0)),"")</f>
        <v/>
      </c>
      <c r="E13" s="51" t="n"/>
      <c r="F13" s="51" t="n"/>
      <c r="G13" s="32">
        <f>SUM(E13:F13)</f>
        <v/>
      </c>
      <c r="H13" s="50" t="n"/>
      <c r="I13" s="49" t="n"/>
      <c r="J13" s="49" t="n"/>
      <c r="K13" s="49" t="n"/>
      <c r="L13" s="49" t="n"/>
    </row>
    <row r="14">
      <c r="A14" s="49" t="n"/>
      <c r="B14" s="49" t="n"/>
      <c r="C14" s="49" t="n"/>
      <c r="D14" s="36">
        <f>IFERROR(INDEX('Employee Database'!$B$3:$B$202,MATCH(C14,'Employee Database'!$A$3:$A$202,0)),"")</f>
        <v/>
      </c>
      <c r="E14" s="51" t="n"/>
      <c r="F14" s="51" t="n"/>
      <c r="G14" s="32">
        <f>SUM(E14:F14)</f>
        <v/>
      </c>
      <c r="H14" s="50" t="n"/>
      <c r="I14" s="49" t="n"/>
      <c r="J14" s="49" t="n"/>
      <c r="K14" s="49" t="n"/>
      <c r="L14" s="49" t="n"/>
    </row>
    <row r="15">
      <c r="A15" s="49" t="n"/>
      <c r="B15" s="49" t="n"/>
      <c r="C15" s="49" t="n"/>
      <c r="D15" s="36">
        <f>IFERROR(INDEX('Employee Database'!$B$3:$B$202,MATCH(C15,'Employee Database'!$A$3:$A$202,0)),"")</f>
        <v/>
      </c>
      <c r="E15" s="51" t="n"/>
      <c r="F15" s="51" t="n"/>
      <c r="G15" s="32">
        <f>SUM(E15:F15)</f>
        <v/>
      </c>
      <c r="H15" s="50" t="n"/>
      <c r="I15" s="49" t="n"/>
      <c r="J15" s="49" t="n"/>
      <c r="K15" s="49" t="n"/>
      <c r="L15" s="49" t="n"/>
    </row>
    <row r="16">
      <c r="A16" s="49" t="n"/>
      <c r="B16" s="49" t="n"/>
      <c r="C16" s="49" t="n"/>
      <c r="D16" s="36">
        <f>IFERROR(INDEX('Employee Database'!$B$3:$B$202,MATCH(C16,'Employee Database'!$A$3:$A$202,0)),"")</f>
        <v/>
      </c>
      <c r="E16" s="51" t="n"/>
      <c r="F16" s="51" t="n"/>
      <c r="G16" s="32">
        <f>SUM(E16:F16)</f>
        <v/>
      </c>
      <c r="H16" s="50" t="n"/>
      <c r="I16" s="49" t="n"/>
      <c r="J16" s="49" t="n"/>
      <c r="K16" s="49" t="n"/>
      <c r="L16" s="49" t="n"/>
    </row>
    <row r="17">
      <c r="A17" s="49" t="n"/>
      <c r="B17" s="49" t="n"/>
      <c r="C17" s="49" t="n"/>
      <c r="D17" s="36">
        <f>IFERROR(INDEX('Employee Database'!$B$3:$B$202,MATCH(C17,'Employee Database'!$A$3:$A$202,0)),"")</f>
        <v/>
      </c>
      <c r="E17" s="51" t="n"/>
      <c r="F17" s="51" t="n"/>
      <c r="G17" s="32">
        <f>SUM(E17:F17)</f>
        <v/>
      </c>
      <c r="H17" s="50" t="n"/>
      <c r="I17" s="49" t="n"/>
      <c r="J17" s="49" t="n"/>
      <c r="K17" s="49" t="n"/>
      <c r="L17" s="49" t="n"/>
    </row>
    <row r="18">
      <c r="A18" s="49" t="n"/>
      <c r="B18" s="49" t="n"/>
      <c r="C18" s="49" t="n"/>
      <c r="D18" s="36">
        <f>IFERROR(INDEX('Employee Database'!$B$3:$B$202,MATCH(C18,'Employee Database'!$A$3:$A$202,0)),"")</f>
        <v/>
      </c>
      <c r="E18" s="51" t="n"/>
      <c r="F18" s="51" t="n"/>
      <c r="G18" s="32">
        <f>SUM(E18:F18)</f>
        <v/>
      </c>
      <c r="H18" s="50" t="n"/>
      <c r="I18" s="49" t="n"/>
      <c r="J18" s="49" t="n"/>
      <c r="K18" s="49" t="n"/>
      <c r="L18" s="49" t="n"/>
    </row>
    <row r="19">
      <c r="A19" s="49" t="n"/>
      <c r="B19" s="49" t="n"/>
      <c r="C19" s="49" t="n"/>
      <c r="D19" s="36">
        <f>IFERROR(INDEX('Employee Database'!$B$3:$B$202,MATCH(C19,'Employee Database'!$A$3:$A$202,0)),"")</f>
        <v/>
      </c>
      <c r="E19" s="51" t="n"/>
      <c r="F19" s="51" t="n"/>
      <c r="G19" s="32">
        <f>SUM(E19:F19)</f>
        <v/>
      </c>
      <c r="H19" s="50" t="n"/>
      <c r="I19" s="49" t="n"/>
      <c r="J19" s="49" t="n"/>
      <c r="K19" s="49" t="n"/>
      <c r="L19" s="49" t="n"/>
    </row>
    <row r="20">
      <c r="A20" s="49" t="n"/>
      <c r="B20" s="49" t="n"/>
      <c r="C20" s="49" t="n"/>
      <c r="D20" s="36">
        <f>IFERROR(INDEX('Employee Database'!$B$3:$B$202,MATCH(C20,'Employee Database'!$A$3:$A$202,0)),"")</f>
        <v/>
      </c>
      <c r="E20" s="51" t="n"/>
      <c r="F20" s="51" t="n"/>
      <c r="G20" s="32">
        <f>SUM(E20:F20)</f>
        <v/>
      </c>
      <c r="H20" s="50" t="n"/>
      <c r="I20" s="49" t="n"/>
      <c r="J20" s="49" t="n"/>
      <c r="K20" s="49" t="n"/>
      <c r="L20" s="49" t="n"/>
    </row>
    <row r="21">
      <c r="A21" s="49" t="n"/>
      <c r="B21" s="49" t="n"/>
      <c r="C21" s="49" t="n"/>
      <c r="D21" s="36">
        <f>IFERROR(INDEX('Employee Database'!$B$3:$B$202,MATCH(C21,'Employee Database'!$A$3:$A$202,0)),"")</f>
        <v/>
      </c>
      <c r="E21" s="51" t="n"/>
      <c r="F21" s="51" t="n"/>
      <c r="G21" s="32">
        <f>SUM(E21:F21)</f>
        <v/>
      </c>
      <c r="H21" s="50" t="n"/>
      <c r="I21" s="49" t="n"/>
      <c r="J21" s="49" t="n"/>
      <c r="K21" s="49" t="n"/>
      <c r="L21" s="49" t="n"/>
    </row>
    <row r="22">
      <c r="A22" s="49" t="n"/>
      <c r="B22" s="49" t="n"/>
      <c r="C22" s="49" t="n"/>
      <c r="D22" s="36">
        <f>IFERROR(INDEX('Employee Database'!$B$3:$B$202,MATCH(C22,'Employee Database'!$A$3:$A$202,0)),"")</f>
        <v/>
      </c>
      <c r="E22" s="51" t="n"/>
      <c r="F22" s="51" t="n"/>
      <c r="G22" s="32">
        <f>SUM(E22:F22)</f>
        <v/>
      </c>
      <c r="H22" s="50" t="n"/>
      <c r="I22" s="49" t="n"/>
      <c r="J22" s="49" t="n"/>
      <c r="K22" s="49" t="n"/>
      <c r="L22" s="49" t="n"/>
    </row>
    <row r="23">
      <c r="A23" s="49" t="n"/>
      <c r="B23" s="49" t="n"/>
      <c r="C23" s="49" t="n"/>
      <c r="D23" s="36">
        <f>IFERROR(INDEX('Employee Database'!$B$3:$B$202,MATCH(C23,'Employee Database'!$A$3:$A$202,0)),"")</f>
        <v/>
      </c>
      <c r="E23" s="51" t="n"/>
      <c r="F23" s="51" t="n"/>
      <c r="G23" s="32">
        <f>SUM(E23:F23)</f>
        <v/>
      </c>
      <c r="H23" s="50" t="n"/>
      <c r="I23" s="49" t="n"/>
      <c r="J23" s="49" t="n"/>
      <c r="K23" s="49" t="n"/>
      <c r="L23" s="49" t="n"/>
    </row>
    <row r="24">
      <c r="A24" s="49" t="n"/>
      <c r="B24" s="49" t="n"/>
      <c r="C24" s="49" t="n"/>
      <c r="D24" s="36">
        <f>IFERROR(INDEX('Employee Database'!$B$3:$B$202,MATCH(C24,'Employee Database'!$A$3:$A$202,0)),"")</f>
        <v/>
      </c>
      <c r="E24" s="51" t="n"/>
      <c r="F24" s="51" t="n"/>
      <c r="G24" s="32">
        <f>SUM(E24:F24)</f>
        <v/>
      </c>
      <c r="H24" s="50" t="n"/>
      <c r="I24" s="49" t="n"/>
      <c r="J24" s="49" t="n"/>
      <c r="K24" s="49" t="n"/>
      <c r="L24" s="49" t="n"/>
    </row>
    <row r="25">
      <c r="A25" s="49" t="n"/>
      <c r="B25" s="49" t="n"/>
      <c r="C25" s="49" t="n"/>
      <c r="D25" s="36">
        <f>IFERROR(INDEX('Employee Database'!$B$3:$B$202,MATCH(C25,'Employee Database'!$A$3:$A$202,0)),"")</f>
        <v/>
      </c>
      <c r="E25" s="51" t="n"/>
      <c r="F25" s="51" t="n"/>
      <c r="G25" s="32">
        <f>SUM(E25:F25)</f>
        <v/>
      </c>
      <c r="H25" s="50" t="n"/>
      <c r="I25" s="49" t="n"/>
      <c r="J25" s="49" t="n"/>
      <c r="K25" s="49" t="n"/>
      <c r="L25" s="49" t="n"/>
    </row>
    <row r="26">
      <c r="A26" s="49" t="n"/>
      <c r="B26" s="49" t="n"/>
      <c r="C26" s="49" t="n"/>
      <c r="D26" s="36">
        <f>IFERROR(INDEX('Employee Database'!$B$3:$B$202,MATCH(C26,'Employee Database'!$A$3:$A$202,0)),"")</f>
        <v/>
      </c>
      <c r="E26" s="51" t="n"/>
      <c r="F26" s="51" t="n"/>
      <c r="G26" s="32">
        <f>SUM(E26:F26)</f>
        <v/>
      </c>
      <c r="H26" s="50" t="n"/>
      <c r="I26" s="49" t="n"/>
      <c r="J26" s="49" t="n"/>
      <c r="K26" s="49" t="n"/>
      <c r="L26" s="49" t="n"/>
    </row>
    <row r="27">
      <c r="A27" s="49" t="n"/>
      <c r="B27" s="49" t="n"/>
      <c r="C27" s="49" t="n"/>
      <c r="D27" s="36">
        <f>IFERROR(INDEX('Employee Database'!$B$3:$B$202,MATCH(C27,'Employee Database'!$A$3:$A$202,0)),"")</f>
        <v/>
      </c>
      <c r="E27" s="51" t="n"/>
      <c r="F27" s="51" t="n"/>
      <c r="G27" s="32">
        <f>SUM(E27:F27)</f>
        <v/>
      </c>
      <c r="H27" s="50" t="n"/>
      <c r="I27" s="49" t="n"/>
      <c r="J27" s="49" t="n"/>
      <c r="K27" s="49" t="n"/>
      <c r="L27" s="49" t="n"/>
    </row>
    <row r="28">
      <c r="A28" s="49" t="n"/>
      <c r="B28" s="49" t="n"/>
      <c r="C28" s="49" t="n"/>
      <c r="D28" s="36">
        <f>IFERROR(INDEX('Employee Database'!$B$3:$B$202,MATCH(C28,'Employee Database'!$A$3:$A$202,0)),"")</f>
        <v/>
      </c>
      <c r="E28" s="51" t="n"/>
      <c r="F28" s="51" t="n"/>
      <c r="G28" s="32">
        <f>SUM(E28:F28)</f>
        <v/>
      </c>
      <c r="H28" s="50" t="n"/>
      <c r="I28" s="49" t="n"/>
      <c r="J28" s="49" t="n"/>
      <c r="K28" s="49" t="n"/>
      <c r="L28" s="49" t="n"/>
    </row>
    <row r="29">
      <c r="A29" s="49" t="n"/>
      <c r="B29" s="49" t="n"/>
      <c r="C29" s="49" t="n"/>
      <c r="D29" s="36">
        <f>IFERROR(INDEX('Employee Database'!$B$3:$B$202,MATCH(C29,'Employee Database'!$A$3:$A$202,0)),"")</f>
        <v/>
      </c>
      <c r="E29" s="51" t="n"/>
      <c r="F29" s="51" t="n"/>
      <c r="G29" s="32">
        <f>SUM(E29:F29)</f>
        <v/>
      </c>
      <c r="H29" s="50" t="n"/>
      <c r="I29" s="49" t="n"/>
      <c r="J29" s="49" t="n"/>
      <c r="K29" s="49" t="n"/>
      <c r="L29" s="49" t="n"/>
    </row>
    <row r="30">
      <c r="A30" s="49" t="n"/>
      <c r="B30" s="49" t="n"/>
      <c r="C30" s="49" t="n"/>
      <c r="D30" s="36">
        <f>IFERROR(INDEX('Employee Database'!$B$3:$B$202,MATCH(C30,'Employee Database'!$A$3:$A$202,0)),"")</f>
        <v/>
      </c>
      <c r="E30" s="51" t="n"/>
      <c r="F30" s="51" t="n"/>
      <c r="G30" s="32">
        <f>SUM(E30:F30)</f>
        <v/>
      </c>
      <c r="H30" s="50" t="n"/>
      <c r="I30" s="49" t="n"/>
      <c r="J30" s="49" t="n"/>
      <c r="K30" s="49" t="n"/>
      <c r="L30" s="49" t="n"/>
    </row>
    <row r="31">
      <c r="A31" s="49" t="n"/>
      <c r="B31" s="49" t="n"/>
      <c r="C31" s="49" t="n"/>
      <c r="D31" s="36">
        <f>IFERROR(INDEX('Employee Database'!$B$3:$B$202,MATCH(C31,'Employee Database'!$A$3:$A$202,0)),"")</f>
        <v/>
      </c>
      <c r="E31" s="51" t="n"/>
      <c r="F31" s="51" t="n"/>
      <c r="G31" s="32">
        <f>SUM(E31:F31)</f>
        <v/>
      </c>
      <c r="H31" s="50" t="n"/>
      <c r="I31" s="49" t="n"/>
      <c r="J31" s="49" t="n"/>
      <c r="K31" s="49" t="n"/>
      <c r="L31" s="49" t="n"/>
    </row>
    <row r="32">
      <c r="A32" s="49" t="n"/>
      <c r="B32" s="49" t="n"/>
      <c r="C32" s="49" t="n"/>
      <c r="D32" s="36">
        <f>IFERROR(INDEX('Employee Database'!$B$3:$B$202,MATCH(C32,'Employee Database'!$A$3:$A$202,0)),"")</f>
        <v/>
      </c>
      <c r="E32" s="51" t="n"/>
      <c r="F32" s="51" t="n"/>
      <c r="G32" s="32">
        <f>SUM(E32:F32)</f>
        <v/>
      </c>
      <c r="H32" s="50" t="n"/>
      <c r="I32" s="49" t="n"/>
      <c r="J32" s="49" t="n"/>
      <c r="K32" s="49" t="n"/>
      <c r="L32" s="49" t="n"/>
    </row>
    <row r="33">
      <c r="A33" s="49" t="n"/>
      <c r="B33" s="49" t="n"/>
      <c r="C33" s="49" t="n"/>
      <c r="D33" s="36">
        <f>IFERROR(INDEX('Employee Database'!$B$3:$B$202,MATCH(C33,'Employee Database'!$A$3:$A$202,0)),"")</f>
        <v/>
      </c>
      <c r="E33" s="51" t="n"/>
      <c r="F33" s="51" t="n"/>
      <c r="G33" s="32">
        <f>SUM(E33:F33)</f>
        <v/>
      </c>
      <c r="H33" s="50" t="n"/>
      <c r="I33" s="49" t="n"/>
      <c r="J33" s="49" t="n"/>
      <c r="K33" s="49" t="n"/>
      <c r="L33" s="49" t="n"/>
    </row>
    <row r="34">
      <c r="A34" s="49" t="n"/>
      <c r="B34" s="49" t="n"/>
      <c r="C34" s="49" t="n"/>
      <c r="D34" s="36">
        <f>IFERROR(INDEX('Employee Database'!$B$3:$B$202,MATCH(C34,'Employee Database'!$A$3:$A$202,0)),"")</f>
        <v/>
      </c>
      <c r="E34" s="51" t="n"/>
      <c r="F34" s="51" t="n"/>
      <c r="G34" s="32">
        <f>SUM(E34:F34)</f>
        <v/>
      </c>
      <c r="H34" s="50" t="n"/>
      <c r="I34" s="49" t="n"/>
      <c r="J34" s="49" t="n"/>
      <c r="K34" s="49" t="n"/>
      <c r="L34" s="49" t="n"/>
    </row>
    <row r="35">
      <c r="A35" s="49" t="n"/>
      <c r="B35" s="49" t="n"/>
      <c r="C35" s="49" t="n"/>
      <c r="D35" s="36">
        <f>IFERROR(INDEX('Employee Database'!$B$3:$B$202,MATCH(C35,'Employee Database'!$A$3:$A$202,0)),"")</f>
        <v/>
      </c>
      <c r="E35" s="51" t="n"/>
      <c r="F35" s="51" t="n"/>
      <c r="G35" s="32">
        <f>SUM(E35:F35)</f>
        <v/>
      </c>
      <c r="H35" s="50" t="n"/>
      <c r="I35" s="49" t="n"/>
      <c r="J35" s="49" t="n"/>
      <c r="K35" s="49" t="n"/>
      <c r="L35" s="49" t="n"/>
    </row>
    <row r="36">
      <c r="A36" s="49" t="n"/>
      <c r="B36" s="49" t="n"/>
      <c r="C36" s="49" t="n"/>
      <c r="D36" s="36">
        <f>IFERROR(INDEX('Employee Database'!$B$3:$B$202,MATCH(C36,'Employee Database'!$A$3:$A$202,0)),"")</f>
        <v/>
      </c>
      <c r="E36" s="51" t="n"/>
      <c r="F36" s="51" t="n"/>
      <c r="G36" s="32">
        <f>SUM(E36:F36)</f>
        <v/>
      </c>
      <c r="H36" s="50" t="n"/>
      <c r="I36" s="49" t="n"/>
      <c r="J36" s="49" t="n"/>
      <c r="K36" s="49" t="n"/>
      <c r="L36" s="49" t="n"/>
    </row>
    <row r="37">
      <c r="A37" s="49" t="n"/>
      <c r="B37" s="49" t="n"/>
      <c r="C37" s="49" t="n"/>
      <c r="D37" s="36">
        <f>IFERROR(INDEX('Employee Database'!$B$3:$B$202,MATCH(C37,'Employee Database'!$A$3:$A$202,0)),"")</f>
        <v/>
      </c>
      <c r="E37" s="51" t="n"/>
      <c r="F37" s="51" t="n"/>
      <c r="G37" s="32">
        <f>SUM(E37:F37)</f>
        <v/>
      </c>
      <c r="H37" s="50" t="n"/>
      <c r="I37" s="49" t="n"/>
      <c r="J37" s="49" t="n"/>
      <c r="K37" s="49" t="n"/>
      <c r="L37" s="49" t="n"/>
    </row>
    <row r="38">
      <c r="A38" s="49" t="n"/>
      <c r="B38" s="49" t="n"/>
      <c r="C38" s="49" t="n"/>
      <c r="D38" s="36">
        <f>IFERROR(INDEX('Employee Database'!$B$3:$B$202,MATCH(C38,'Employee Database'!$A$3:$A$202,0)),"")</f>
        <v/>
      </c>
      <c r="E38" s="51" t="n"/>
      <c r="F38" s="51" t="n"/>
      <c r="G38" s="32">
        <f>SUM(E38:F38)</f>
        <v/>
      </c>
      <c r="H38" s="50" t="n"/>
      <c r="I38" s="49" t="n"/>
      <c r="J38" s="49" t="n"/>
      <c r="K38" s="49" t="n"/>
      <c r="L38" s="49" t="n"/>
    </row>
    <row r="39">
      <c r="A39" s="49" t="n"/>
      <c r="B39" s="49" t="n"/>
      <c r="C39" s="49" t="n"/>
      <c r="D39" s="36">
        <f>IFERROR(INDEX('Employee Database'!$B$3:$B$202,MATCH(C39,'Employee Database'!$A$3:$A$202,0)),"")</f>
        <v/>
      </c>
      <c r="E39" s="51" t="n"/>
      <c r="F39" s="51" t="n"/>
      <c r="G39" s="32">
        <f>SUM(E39:F39)</f>
        <v/>
      </c>
      <c r="H39" s="50" t="n"/>
      <c r="I39" s="49" t="n"/>
      <c r="J39" s="49" t="n"/>
      <c r="K39" s="49" t="n"/>
      <c r="L39" s="49" t="n"/>
    </row>
    <row r="40">
      <c r="A40" s="49" t="n"/>
      <c r="B40" s="49" t="n"/>
      <c r="C40" s="49" t="n"/>
      <c r="D40" s="36">
        <f>IFERROR(INDEX('Employee Database'!$B$3:$B$202,MATCH(C40,'Employee Database'!$A$3:$A$202,0)),"")</f>
        <v/>
      </c>
      <c r="E40" s="51" t="n"/>
      <c r="F40" s="51" t="n"/>
      <c r="G40" s="32">
        <f>SUM(E40:F40)</f>
        <v/>
      </c>
      <c r="H40" s="50" t="n"/>
      <c r="I40" s="49" t="n"/>
      <c r="J40" s="49" t="n"/>
      <c r="K40" s="49" t="n"/>
      <c r="L40" s="49" t="n"/>
    </row>
    <row r="41">
      <c r="A41" s="49" t="n"/>
      <c r="B41" s="49" t="n"/>
      <c r="C41" s="49" t="n"/>
      <c r="D41" s="36">
        <f>IFERROR(INDEX('Employee Database'!$B$3:$B$202,MATCH(C41,'Employee Database'!$A$3:$A$202,0)),"")</f>
        <v/>
      </c>
      <c r="E41" s="51" t="n"/>
      <c r="F41" s="51" t="n"/>
      <c r="G41" s="32">
        <f>SUM(E41:F41)</f>
        <v/>
      </c>
      <c r="H41" s="50" t="n"/>
      <c r="I41" s="49" t="n"/>
      <c r="J41" s="49" t="n"/>
      <c r="K41" s="49" t="n"/>
      <c r="L41" s="49" t="n"/>
    </row>
    <row r="42">
      <c r="A42" s="49" t="n"/>
      <c r="B42" s="49" t="n"/>
      <c r="C42" s="49" t="n"/>
      <c r="D42" s="36">
        <f>IFERROR(INDEX('Employee Database'!$B$3:$B$202,MATCH(C42,'Employee Database'!$A$3:$A$202,0)),"")</f>
        <v/>
      </c>
      <c r="E42" s="51" t="n"/>
      <c r="F42" s="51" t="n"/>
      <c r="G42" s="32">
        <f>SUM(E42:F42)</f>
        <v/>
      </c>
      <c r="H42" s="50" t="n"/>
      <c r="I42" s="49" t="n"/>
      <c r="J42" s="49" t="n"/>
      <c r="K42" s="49" t="n"/>
      <c r="L42" s="49" t="n"/>
    </row>
    <row r="43">
      <c r="A43" s="49" t="n"/>
      <c r="B43" s="49" t="n"/>
      <c r="C43" s="49" t="n"/>
      <c r="D43" s="36">
        <f>IFERROR(INDEX('Employee Database'!$B$3:$B$202,MATCH(C43,'Employee Database'!$A$3:$A$202,0)),"")</f>
        <v/>
      </c>
      <c r="E43" s="51" t="n"/>
      <c r="F43" s="51" t="n"/>
      <c r="G43" s="32">
        <f>SUM(E43:F43)</f>
        <v/>
      </c>
      <c r="H43" s="50" t="n"/>
      <c r="I43" s="49" t="n"/>
      <c r="J43" s="49" t="n"/>
      <c r="K43" s="49" t="n"/>
      <c r="L43" s="49" t="n"/>
    </row>
    <row r="44">
      <c r="A44" s="49" t="n"/>
      <c r="B44" s="49" t="n"/>
      <c r="C44" s="49" t="n"/>
      <c r="D44" s="36">
        <f>IFERROR(INDEX('Employee Database'!$B$3:$B$202,MATCH(C44,'Employee Database'!$A$3:$A$202,0)),"")</f>
        <v/>
      </c>
      <c r="E44" s="51" t="n"/>
      <c r="F44" s="51" t="n"/>
      <c r="G44" s="32">
        <f>SUM(E44:F44)</f>
        <v/>
      </c>
      <c r="H44" s="50" t="n"/>
      <c r="I44" s="49" t="n"/>
      <c r="J44" s="49" t="n"/>
      <c r="K44" s="49" t="n"/>
      <c r="L44" s="49" t="n"/>
    </row>
    <row r="45">
      <c r="A45" s="49" t="n"/>
      <c r="B45" s="49" t="n"/>
      <c r="C45" s="49" t="n"/>
      <c r="D45" s="36">
        <f>IFERROR(INDEX('Employee Database'!$B$3:$B$202,MATCH(C45,'Employee Database'!$A$3:$A$202,0)),"")</f>
        <v/>
      </c>
      <c r="E45" s="51" t="n"/>
      <c r="F45" s="51" t="n"/>
      <c r="G45" s="32">
        <f>SUM(E45:F45)</f>
        <v/>
      </c>
      <c r="H45" s="50" t="n"/>
      <c r="I45" s="49" t="n"/>
      <c r="J45" s="49" t="n"/>
      <c r="K45" s="49" t="n"/>
      <c r="L45" s="49" t="n"/>
    </row>
    <row r="46">
      <c r="A46" s="49" t="n"/>
      <c r="B46" s="49" t="n"/>
      <c r="C46" s="49" t="n"/>
      <c r="D46" s="36">
        <f>IFERROR(INDEX('Employee Database'!$B$3:$B$202,MATCH(C46,'Employee Database'!$A$3:$A$202,0)),"")</f>
        <v/>
      </c>
      <c r="E46" s="51" t="n"/>
      <c r="F46" s="51" t="n"/>
      <c r="G46" s="32">
        <f>SUM(E46:F46)</f>
        <v/>
      </c>
      <c r="H46" s="50" t="n"/>
      <c r="I46" s="49" t="n"/>
      <c r="J46" s="49" t="n"/>
      <c r="K46" s="49" t="n"/>
      <c r="L46" s="49" t="n"/>
    </row>
    <row r="47">
      <c r="A47" s="49" t="n"/>
      <c r="B47" s="49" t="n"/>
      <c r="C47" s="49" t="n"/>
      <c r="D47" s="36">
        <f>IFERROR(INDEX('Employee Database'!$B$3:$B$202,MATCH(C47,'Employee Database'!$A$3:$A$202,0)),"")</f>
        <v/>
      </c>
      <c r="E47" s="51" t="n"/>
      <c r="F47" s="51" t="n"/>
      <c r="G47" s="32">
        <f>SUM(E47:F47)</f>
        <v/>
      </c>
      <c r="H47" s="50" t="n"/>
      <c r="I47" s="49" t="n"/>
      <c r="J47" s="49" t="n"/>
      <c r="K47" s="49" t="n"/>
      <c r="L47" s="49" t="n"/>
    </row>
    <row r="48">
      <c r="A48" s="49" t="n"/>
      <c r="B48" s="49" t="n"/>
      <c r="C48" s="49" t="n"/>
      <c r="D48" s="36">
        <f>IFERROR(INDEX('Employee Database'!$B$3:$B$202,MATCH(C48,'Employee Database'!$A$3:$A$202,0)),"")</f>
        <v/>
      </c>
      <c r="E48" s="51" t="n"/>
      <c r="F48" s="51" t="n"/>
      <c r="G48" s="32">
        <f>SUM(E48:F48)</f>
        <v/>
      </c>
      <c r="H48" s="50" t="n"/>
      <c r="I48" s="49" t="n"/>
      <c r="J48" s="49" t="n"/>
      <c r="K48" s="49" t="n"/>
      <c r="L48" s="49" t="n"/>
    </row>
    <row r="49">
      <c r="A49" s="49" t="n"/>
      <c r="B49" s="49" t="n"/>
      <c r="C49" s="49" t="n"/>
      <c r="D49" s="36">
        <f>IFERROR(INDEX('Employee Database'!$B$3:$B$202,MATCH(C49,'Employee Database'!$A$3:$A$202,0)),"")</f>
        <v/>
      </c>
      <c r="E49" s="51" t="n"/>
      <c r="F49" s="51" t="n"/>
      <c r="G49" s="32">
        <f>SUM(E49:F49)</f>
        <v/>
      </c>
      <c r="H49" s="50" t="n"/>
      <c r="I49" s="49" t="n"/>
      <c r="J49" s="49" t="n"/>
      <c r="K49" s="49" t="n"/>
      <c r="L49" s="49" t="n"/>
    </row>
    <row r="50">
      <c r="A50" s="49" t="n"/>
      <c r="B50" s="49" t="n"/>
      <c r="C50" s="49" t="n"/>
      <c r="D50" s="36">
        <f>IFERROR(INDEX('Employee Database'!$B$3:$B$202,MATCH(C50,'Employee Database'!$A$3:$A$202,0)),"")</f>
        <v/>
      </c>
      <c r="E50" s="51" t="n"/>
      <c r="F50" s="51" t="n"/>
      <c r="G50" s="32">
        <f>SUM(E50:F50)</f>
        <v/>
      </c>
      <c r="H50" s="50" t="n"/>
      <c r="I50" s="49" t="n"/>
      <c r="J50" s="49" t="n"/>
      <c r="K50" s="49" t="n"/>
      <c r="L50" s="49" t="n"/>
    </row>
    <row r="51">
      <c r="A51" s="49" t="n"/>
      <c r="B51" s="49" t="n"/>
      <c r="C51" s="49" t="n"/>
      <c r="D51" s="36">
        <f>IFERROR(INDEX('Employee Database'!$B$3:$B$202,MATCH(C51,'Employee Database'!$A$3:$A$202,0)),"")</f>
        <v/>
      </c>
      <c r="E51" s="51" t="n"/>
      <c r="F51" s="51" t="n"/>
      <c r="G51" s="32">
        <f>SUM(E51:F51)</f>
        <v/>
      </c>
      <c r="H51" s="50" t="n"/>
      <c r="I51" s="49" t="n"/>
      <c r="J51" s="49" t="n"/>
      <c r="K51" s="49" t="n"/>
      <c r="L51" s="49" t="n"/>
    </row>
    <row r="52">
      <c r="A52" s="49" t="n"/>
      <c r="B52" s="49" t="n"/>
      <c r="C52" s="49" t="n"/>
      <c r="D52" s="36">
        <f>IFERROR(INDEX('Employee Database'!$B$3:$B$202,MATCH(C52,'Employee Database'!$A$3:$A$202,0)),"")</f>
        <v/>
      </c>
      <c r="E52" s="51" t="n"/>
      <c r="F52" s="51" t="n"/>
      <c r="G52" s="32">
        <f>SUM(E52:F52)</f>
        <v/>
      </c>
      <c r="H52" s="50" t="n"/>
      <c r="I52" s="49" t="n"/>
      <c r="J52" s="49" t="n"/>
      <c r="K52" s="49" t="n"/>
      <c r="L52" s="49" t="n"/>
    </row>
    <row r="53">
      <c r="A53" s="49" t="n"/>
      <c r="B53" s="49" t="n"/>
      <c r="C53" s="49" t="n"/>
      <c r="D53" s="36">
        <f>IFERROR(INDEX('Employee Database'!$B$3:$B$202,MATCH(C53,'Employee Database'!$A$3:$A$202,0)),"")</f>
        <v/>
      </c>
      <c r="E53" s="51" t="n"/>
      <c r="F53" s="51" t="n"/>
      <c r="G53" s="32">
        <f>SUM(E53:F53)</f>
        <v/>
      </c>
      <c r="H53" s="50" t="n"/>
      <c r="I53" s="49" t="n"/>
      <c r="J53" s="49" t="n"/>
      <c r="K53" s="49" t="n"/>
      <c r="L53" s="49" t="n"/>
    </row>
    <row r="54">
      <c r="A54" s="49" t="n"/>
      <c r="B54" s="49" t="n"/>
      <c r="C54" s="49" t="n"/>
      <c r="D54" s="36">
        <f>IFERROR(INDEX('Employee Database'!$B$3:$B$202,MATCH(C54,'Employee Database'!$A$3:$A$202,0)),"")</f>
        <v/>
      </c>
      <c r="E54" s="51" t="n"/>
      <c r="F54" s="51" t="n"/>
      <c r="G54" s="32">
        <f>SUM(E54:F54)</f>
        <v/>
      </c>
      <c r="H54" s="50" t="n"/>
      <c r="I54" s="49" t="n"/>
      <c r="J54" s="49" t="n"/>
      <c r="K54" s="49" t="n"/>
      <c r="L54" s="49" t="n"/>
    </row>
    <row r="55">
      <c r="A55" s="49" t="n"/>
      <c r="B55" s="49" t="n"/>
      <c r="C55" s="49" t="n"/>
      <c r="D55" s="36">
        <f>IFERROR(INDEX('Employee Database'!$B$3:$B$202,MATCH(C55,'Employee Database'!$A$3:$A$202,0)),"")</f>
        <v/>
      </c>
      <c r="E55" s="51" t="n"/>
      <c r="F55" s="51" t="n"/>
      <c r="G55" s="32">
        <f>SUM(E55:F55)</f>
        <v/>
      </c>
      <c r="H55" s="50" t="n"/>
      <c r="I55" s="49" t="n"/>
      <c r="J55" s="49" t="n"/>
      <c r="K55" s="49" t="n"/>
      <c r="L55" s="49" t="n"/>
    </row>
    <row r="56">
      <c r="A56" s="49" t="n"/>
      <c r="B56" s="49" t="n"/>
      <c r="C56" s="49" t="n"/>
      <c r="D56" s="36">
        <f>IFERROR(INDEX('Employee Database'!$B$3:$B$202,MATCH(C56,'Employee Database'!$A$3:$A$202,0)),"")</f>
        <v/>
      </c>
      <c r="E56" s="51" t="n"/>
      <c r="F56" s="51" t="n"/>
      <c r="G56" s="32">
        <f>SUM(E56:F56)</f>
        <v/>
      </c>
      <c r="H56" s="50" t="n"/>
      <c r="I56" s="49" t="n"/>
      <c r="J56" s="49" t="n"/>
      <c r="K56" s="49" t="n"/>
      <c r="L56" s="49" t="n"/>
    </row>
    <row r="57">
      <c r="A57" s="49" t="n"/>
      <c r="B57" s="49" t="n"/>
      <c r="C57" s="49" t="n"/>
      <c r="D57" s="36">
        <f>IFERROR(INDEX('Employee Database'!$B$3:$B$202,MATCH(C57,'Employee Database'!$A$3:$A$202,0)),"")</f>
        <v/>
      </c>
      <c r="E57" s="51" t="n"/>
      <c r="F57" s="51" t="n"/>
      <c r="G57" s="32">
        <f>SUM(E57:F57)</f>
        <v/>
      </c>
      <c r="H57" s="50" t="n"/>
      <c r="I57" s="49" t="n"/>
      <c r="J57" s="49" t="n"/>
      <c r="K57" s="49" t="n"/>
      <c r="L57" s="49" t="n"/>
    </row>
    <row r="58">
      <c r="A58" s="49" t="n"/>
      <c r="B58" s="49" t="n"/>
      <c r="C58" s="49" t="n"/>
      <c r="D58" s="36">
        <f>IFERROR(INDEX('Employee Database'!$B$3:$B$202,MATCH(C58,'Employee Database'!$A$3:$A$202,0)),"")</f>
        <v/>
      </c>
      <c r="E58" s="51" t="n"/>
      <c r="F58" s="51" t="n"/>
      <c r="G58" s="32">
        <f>SUM(E58:F58)</f>
        <v/>
      </c>
      <c r="H58" s="50" t="n"/>
      <c r="I58" s="49" t="n"/>
      <c r="J58" s="49" t="n"/>
      <c r="K58" s="49" t="n"/>
      <c r="L58" s="49" t="n"/>
    </row>
    <row r="59">
      <c r="A59" s="49" t="n"/>
      <c r="B59" s="49" t="n"/>
      <c r="C59" s="49" t="n"/>
      <c r="D59" s="36">
        <f>IFERROR(INDEX('Employee Database'!$B$3:$B$202,MATCH(C59,'Employee Database'!$A$3:$A$202,0)),"")</f>
        <v/>
      </c>
      <c r="E59" s="51" t="n"/>
      <c r="F59" s="51" t="n"/>
      <c r="G59" s="32">
        <f>SUM(E59:F59)</f>
        <v/>
      </c>
      <c r="H59" s="50" t="n"/>
      <c r="I59" s="49" t="n"/>
      <c r="J59" s="49" t="n"/>
      <c r="K59" s="49" t="n"/>
      <c r="L59" s="49" t="n"/>
    </row>
    <row r="60">
      <c r="A60" s="49" t="n"/>
      <c r="B60" s="49" t="n"/>
      <c r="C60" s="49" t="n"/>
      <c r="D60" s="36">
        <f>IFERROR(INDEX('Employee Database'!$B$3:$B$202,MATCH(C60,'Employee Database'!$A$3:$A$202,0)),"")</f>
        <v/>
      </c>
      <c r="E60" s="51" t="n"/>
      <c r="F60" s="51" t="n"/>
      <c r="G60" s="32">
        <f>SUM(E60:F60)</f>
        <v/>
      </c>
      <c r="H60" s="50" t="n"/>
      <c r="I60" s="49" t="n"/>
      <c r="J60" s="49" t="n"/>
      <c r="K60" s="49" t="n"/>
      <c r="L60" s="49" t="n"/>
    </row>
    <row r="61">
      <c r="A61" s="49" t="n"/>
      <c r="B61" s="49" t="n"/>
      <c r="C61" s="49" t="n"/>
      <c r="D61" s="36">
        <f>IFERROR(INDEX('Employee Database'!$B$3:$B$202,MATCH(C61,'Employee Database'!$A$3:$A$202,0)),"")</f>
        <v/>
      </c>
      <c r="E61" s="51" t="n"/>
      <c r="F61" s="51" t="n"/>
      <c r="G61" s="32">
        <f>SUM(E61:F61)</f>
        <v/>
      </c>
      <c r="H61" s="50" t="n"/>
      <c r="I61" s="49" t="n"/>
      <c r="J61" s="49" t="n"/>
      <c r="K61" s="49" t="n"/>
      <c r="L61" s="49" t="n"/>
    </row>
    <row r="62">
      <c r="A62" s="49" t="n"/>
      <c r="B62" s="49" t="n"/>
      <c r="C62" s="49" t="n"/>
      <c r="D62" s="36">
        <f>IFERROR(INDEX('Employee Database'!$B$3:$B$202,MATCH(C62,'Employee Database'!$A$3:$A$202,0)),"")</f>
        <v/>
      </c>
      <c r="E62" s="51" t="n"/>
      <c r="F62" s="51" t="n"/>
      <c r="G62" s="32">
        <f>SUM(E62:F62)</f>
        <v/>
      </c>
      <c r="H62" s="50" t="n"/>
      <c r="I62" s="49" t="n"/>
      <c r="J62" s="49" t="n"/>
      <c r="K62" s="49" t="n"/>
      <c r="L62" s="49" t="n"/>
    </row>
    <row r="63">
      <c r="A63" s="49" t="n"/>
      <c r="B63" s="49" t="n"/>
      <c r="C63" s="49" t="n"/>
      <c r="D63" s="36">
        <f>IFERROR(INDEX('Employee Database'!$B$3:$B$202,MATCH(C63,'Employee Database'!$A$3:$A$202,0)),"")</f>
        <v/>
      </c>
      <c r="E63" s="51" t="n"/>
      <c r="F63" s="51" t="n"/>
      <c r="G63" s="32">
        <f>SUM(E63:F63)</f>
        <v/>
      </c>
      <c r="H63" s="50" t="n"/>
      <c r="I63" s="49" t="n"/>
      <c r="J63" s="49" t="n"/>
      <c r="K63" s="49" t="n"/>
      <c r="L63" s="49" t="n"/>
    </row>
    <row r="64">
      <c r="A64" s="49" t="n"/>
      <c r="B64" s="49" t="n"/>
      <c r="C64" s="49" t="n"/>
      <c r="D64" s="36">
        <f>IFERROR(INDEX('Employee Database'!$B$3:$B$202,MATCH(C64,'Employee Database'!$A$3:$A$202,0)),"")</f>
        <v/>
      </c>
      <c r="E64" s="51" t="n"/>
      <c r="F64" s="51" t="n"/>
      <c r="G64" s="32">
        <f>SUM(E64:F64)</f>
        <v/>
      </c>
      <c r="H64" s="50" t="n"/>
      <c r="I64" s="49" t="n"/>
      <c r="J64" s="49" t="n"/>
      <c r="K64" s="49" t="n"/>
      <c r="L64" s="49" t="n"/>
    </row>
    <row r="65">
      <c r="A65" s="49" t="n"/>
      <c r="B65" s="49" t="n"/>
      <c r="C65" s="49" t="n"/>
      <c r="D65" s="36">
        <f>IFERROR(INDEX('Employee Database'!$B$3:$B$202,MATCH(C65,'Employee Database'!$A$3:$A$202,0)),"")</f>
        <v/>
      </c>
      <c r="E65" s="51" t="n"/>
      <c r="F65" s="51" t="n"/>
      <c r="G65" s="32">
        <f>SUM(E65:F65)</f>
        <v/>
      </c>
      <c r="H65" s="50" t="n"/>
      <c r="I65" s="49" t="n"/>
      <c r="J65" s="49" t="n"/>
      <c r="K65" s="49" t="n"/>
      <c r="L65" s="49" t="n"/>
    </row>
    <row r="66">
      <c r="A66" s="49" t="n"/>
      <c r="B66" s="49" t="n"/>
      <c r="C66" s="49" t="n"/>
      <c r="D66" s="36">
        <f>IFERROR(INDEX('Employee Database'!$B$3:$B$202,MATCH(C66,'Employee Database'!$A$3:$A$202,0)),"")</f>
        <v/>
      </c>
      <c r="E66" s="51" t="n"/>
      <c r="F66" s="51" t="n"/>
      <c r="G66" s="32">
        <f>SUM(E66:F66)</f>
        <v/>
      </c>
      <c r="H66" s="50" t="n"/>
      <c r="I66" s="49" t="n"/>
      <c r="J66" s="49" t="n"/>
      <c r="K66" s="49" t="n"/>
      <c r="L66" s="49" t="n"/>
    </row>
    <row r="67">
      <c r="A67" s="49" t="n"/>
      <c r="B67" s="49" t="n"/>
      <c r="C67" s="49" t="n"/>
      <c r="D67" s="36">
        <f>IFERROR(INDEX('Employee Database'!$B$3:$B$202,MATCH(C67,'Employee Database'!$A$3:$A$202,0)),"")</f>
        <v/>
      </c>
      <c r="E67" s="51" t="n"/>
      <c r="F67" s="51" t="n"/>
      <c r="G67" s="32">
        <f>SUM(E67:F67)</f>
        <v/>
      </c>
      <c r="H67" s="50" t="n"/>
      <c r="I67" s="49" t="n"/>
      <c r="J67" s="49" t="n"/>
      <c r="K67" s="49" t="n"/>
      <c r="L67" s="49" t="n"/>
    </row>
    <row r="68">
      <c r="A68" s="49" t="n"/>
      <c r="B68" s="49" t="n"/>
      <c r="C68" s="49" t="n"/>
      <c r="D68" s="36">
        <f>IFERROR(INDEX('Employee Database'!$B$3:$B$202,MATCH(C68,'Employee Database'!$A$3:$A$202,0)),"")</f>
        <v/>
      </c>
      <c r="E68" s="51" t="n"/>
      <c r="F68" s="51" t="n"/>
      <c r="G68" s="32">
        <f>SUM(E68:F68)</f>
        <v/>
      </c>
      <c r="H68" s="50" t="n"/>
      <c r="I68" s="49" t="n"/>
      <c r="J68" s="49" t="n"/>
      <c r="K68" s="49" t="n"/>
      <c r="L68" s="49" t="n"/>
    </row>
    <row r="69">
      <c r="A69" s="49" t="n"/>
      <c r="B69" s="49" t="n"/>
      <c r="C69" s="49" t="n"/>
      <c r="D69" s="36">
        <f>IFERROR(INDEX('Employee Database'!$B$3:$B$202,MATCH(C69,'Employee Database'!$A$3:$A$202,0)),"")</f>
        <v/>
      </c>
      <c r="E69" s="51" t="n"/>
      <c r="F69" s="51" t="n"/>
      <c r="G69" s="32">
        <f>SUM(E69:F69)</f>
        <v/>
      </c>
      <c r="H69" s="50" t="n"/>
      <c r="I69" s="49" t="n"/>
      <c r="J69" s="49" t="n"/>
      <c r="K69" s="49" t="n"/>
      <c r="L69" s="49" t="n"/>
    </row>
    <row r="70">
      <c r="A70" s="49" t="n"/>
      <c r="B70" s="49" t="n"/>
      <c r="C70" s="49" t="n"/>
      <c r="D70" s="36">
        <f>IFERROR(INDEX('Employee Database'!$B$3:$B$202,MATCH(C70,'Employee Database'!$A$3:$A$202,0)),"")</f>
        <v/>
      </c>
      <c r="E70" s="51" t="n"/>
      <c r="F70" s="51" t="n"/>
      <c r="G70" s="32">
        <f>SUM(E70:F70)</f>
        <v/>
      </c>
      <c r="H70" s="50" t="n"/>
      <c r="I70" s="49" t="n"/>
      <c r="J70" s="49" t="n"/>
      <c r="K70" s="49" t="n"/>
      <c r="L70" s="49" t="n"/>
    </row>
    <row r="71">
      <c r="A71" s="49" t="n"/>
      <c r="B71" s="49" t="n"/>
      <c r="C71" s="49" t="n"/>
      <c r="D71" s="36">
        <f>IFERROR(INDEX('Employee Database'!$B$3:$B$202,MATCH(C71,'Employee Database'!$A$3:$A$202,0)),"")</f>
        <v/>
      </c>
      <c r="E71" s="51" t="n"/>
      <c r="F71" s="51" t="n"/>
      <c r="G71" s="32">
        <f>SUM(E71:F71)</f>
        <v/>
      </c>
      <c r="H71" s="50" t="n"/>
      <c r="I71" s="49" t="n"/>
      <c r="J71" s="49" t="n"/>
      <c r="K71" s="49" t="n"/>
      <c r="L71" s="49" t="n"/>
    </row>
    <row r="72">
      <c r="A72" s="49" t="n"/>
      <c r="B72" s="49" t="n"/>
      <c r="C72" s="49" t="n"/>
      <c r="D72" s="36">
        <f>IFERROR(INDEX('Employee Database'!$B$3:$B$202,MATCH(C72,'Employee Database'!$A$3:$A$202,0)),"")</f>
        <v/>
      </c>
      <c r="E72" s="51" t="n"/>
      <c r="F72" s="51" t="n"/>
      <c r="G72" s="32">
        <f>SUM(E72:F72)</f>
        <v/>
      </c>
      <c r="H72" s="50" t="n"/>
      <c r="I72" s="49" t="n"/>
      <c r="J72" s="49" t="n"/>
      <c r="K72" s="49" t="n"/>
      <c r="L72" s="49" t="n"/>
    </row>
    <row r="73">
      <c r="A73" s="49" t="n"/>
      <c r="B73" s="49" t="n"/>
      <c r="C73" s="49" t="n"/>
      <c r="D73" s="36">
        <f>IFERROR(INDEX('Employee Database'!$B$3:$B$202,MATCH(C73,'Employee Database'!$A$3:$A$202,0)),"")</f>
        <v/>
      </c>
      <c r="E73" s="51" t="n"/>
      <c r="F73" s="51" t="n"/>
      <c r="G73" s="32">
        <f>SUM(E73:F73)</f>
        <v/>
      </c>
      <c r="H73" s="50" t="n"/>
      <c r="I73" s="49" t="n"/>
      <c r="J73" s="49" t="n"/>
      <c r="K73" s="49" t="n"/>
      <c r="L73" s="49" t="n"/>
    </row>
    <row r="74">
      <c r="A74" s="49" t="n"/>
      <c r="B74" s="49" t="n"/>
      <c r="C74" s="49" t="n"/>
      <c r="D74" s="36">
        <f>IFERROR(INDEX('Employee Database'!$B$3:$B$202,MATCH(C74,'Employee Database'!$A$3:$A$202,0)),"")</f>
        <v/>
      </c>
      <c r="E74" s="51" t="n"/>
      <c r="F74" s="51" t="n"/>
      <c r="G74" s="32">
        <f>SUM(E74:F74)</f>
        <v/>
      </c>
      <c r="H74" s="50" t="n"/>
      <c r="I74" s="49" t="n"/>
      <c r="J74" s="49" t="n"/>
      <c r="K74" s="49" t="n"/>
      <c r="L74" s="49" t="n"/>
    </row>
    <row r="75">
      <c r="A75" s="49" t="n"/>
      <c r="B75" s="49" t="n"/>
      <c r="C75" s="49" t="n"/>
      <c r="D75" s="36">
        <f>IFERROR(INDEX('Employee Database'!$B$3:$B$202,MATCH(C75,'Employee Database'!$A$3:$A$202,0)),"")</f>
        <v/>
      </c>
      <c r="E75" s="51" t="n"/>
      <c r="F75" s="51" t="n"/>
      <c r="G75" s="32">
        <f>SUM(E75:F75)</f>
        <v/>
      </c>
      <c r="H75" s="50" t="n"/>
      <c r="I75" s="49" t="n"/>
      <c r="J75" s="49" t="n"/>
      <c r="K75" s="49" t="n"/>
      <c r="L75" s="49" t="n"/>
    </row>
    <row r="76">
      <c r="A76" s="49" t="n"/>
      <c r="B76" s="49" t="n"/>
      <c r="C76" s="49" t="n"/>
      <c r="D76" s="36">
        <f>IFERROR(INDEX('Employee Database'!$B$3:$B$202,MATCH(C76,'Employee Database'!$A$3:$A$202,0)),"")</f>
        <v/>
      </c>
      <c r="E76" s="51" t="n"/>
      <c r="F76" s="51" t="n"/>
      <c r="G76" s="32">
        <f>SUM(E76:F76)</f>
        <v/>
      </c>
      <c r="H76" s="50" t="n"/>
      <c r="I76" s="49" t="n"/>
      <c r="J76" s="49" t="n"/>
      <c r="K76" s="49" t="n"/>
      <c r="L76" s="49" t="n"/>
    </row>
    <row r="77">
      <c r="A77" s="49" t="n"/>
      <c r="B77" s="49" t="n"/>
      <c r="C77" s="49" t="n"/>
      <c r="D77" s="36">
        <f>IFERROR(INDEX('Employee Database'!$B$3:$B$202,MATCH(C77,'Employee Database'!$A$3:$A$202,0)),"")</f>
        <v/>
      </c>
      <c r="E77" s="51" t="n"/>
      <c r="F77" s="51" t="n"/>
      <c r="G77" s="32">
        <f>SUM(E77:F77)</f>
        <v/>
      </c>
      <c r="H77" s="50" t="n"/>
      <c r="I77" s="49" t="n"/>
      <c r="J77" s="49" t="n"/>
      <c r="K77" s="49" t="n"/>
      <c r="L77" s="49" t="n"/>
    </row>
    <row r="78">
      <c r="A78" s="49" t="n"/>
      <c r="B78" s="49" t="n"/>
      <c r="C78" s="49" t="n"/>
      <c r="D78" s="36">
        <f>IFERROR(INDEX('Employee Database'!$B$3:$B$202,MATCH(C78,'Employee Database'!$A$3:$A$202,0)),"")</f>
        <v/>
      </c>
      <c r="E78" s="51" t="n"/>
      <c r="F78" s="51" t="n"/>
      <c r="G78" s="32">
        <f>SUM(E78:F78)</f>
        <v/>
      </c>
      <c r="H78" s="50" t="n"/>
      <c r="I78" s="49" t="n"/>
      <c r="J78" s="49" t="n"/>
      <c r="K78" s="49" t="n"/>
      <c r="L78" s="49" t="n"/>
    </row>
    <row r="79">
      <c r="A79" s="49" t="n"/>
      <c r="B79" s="49" t="n"/>
      <c r="C79" s="49" t="n"/>
      <c r="D79" s="36">
        <f>IFERROR(INDEX('Employee Database'!$B$3:$B$202,MATCH(C79,'Employee Database'!$A$3:$A$202,0)),"")</f>
        <v/>
      </c>
      <c r="E79" s="51" t="n"/>
      <c r="F79" s="51" t="n"/>
      <c r="G79" s="32">
        <f>SUM(E79:F79)</f>
        <v/>
      </c>
      <c r="H79" s="50" t="n"/>
      <c r="I79" s="49" t="n"/>
      <c r="J79" s="49" t="n"/>
      <c r="K79" s="49" t="n"/>
      <c r="L79" s="49" t="n"/>
    </row>
    <row r="80">
      <c r="A80" s="49" t="n"/>
      <c r="B80" s="49" t="n"/>
      <c r="C80" s="49" t="n"/>
      <c r="D80" s="36">
        <f>IFERROR(INDEX('Employee Database'!$B$3:$B$202,MATCH(C80,'Employee Database'!$A$3:$A$202,0)),"")</f>
        <v/>
      </c>
      <c r="E80" s="51" t="n"/>
      <c r="F80" s="51" t="n"/>
      <c r="G80" s="32">
        <f>SUM(E80:F80)</f>
        <v/>
      </c>
      <c r="H80" s="50" t="n"/>
      <c r="I80" s="49" t="n"/>
      <c r="J80" s="49" t="n"/>
      <c r="K80" s="49" t="n"/>
      <c r="L80" s="49" t="n"/>
    </row>
    <row r="81">
      <c r="A81" s="49" t="n"/>
      <c r="B81" s="49" t="n"/>
      <c r="C81" s="49" t="n"/>
      <c r="D81" s="36">
        <f>IFERROR(INDEX('Employee Database'!$B$3:$B$202,MATCH(C81,'Employee Database'!$A$3:$A$202,0)),"")</f>
        <v/>
      </c>
      <c r="E81" s="51" t="n"/>
      <c r="F81" s="51" t="n"/>
      <c r="G81" s="32">
        <f>SUM(E81:F81)</f>
        <v/>
      </c>
      <c r="H81" s="50" t="n"/>
      <c r="I81" s="49" t="n"/>
      <c r="J81" s="49" t="n"/>
      <c r="K81" s="49" t="n"/>
      <c r="L81" s="49" t="n"/>
    </row>
    <row r="82">
      <c r="A82" s="49" t="n"/>
      <c r="B82" s="49" t="n"/>
      <c r="C82" s="49" t="n"/>
      <c r="D82" s="36">
        <f>IFERROR(INDEX('Employee Database'!$B$3:$B$202,MATCH(C82,'Employee Database'!$A$3:$A$202,0)),"")</f>
        <v/>
      </c>
      <c r="E82" s="51" t="n"/>
      <c r="F82" s="51" t="n"/>
      <c r="G82" s="32">
        <f>SUM(E82:F82)</f>
        <v/>
      </c>
      <c r="H82" s="50" t="n"/>
      <c r="I82" s="49" t="n"/>
      <c r="J82" s="49" t="n"/>
      <c r="K82" s="49" t="n"/>
      <c r="L82" s="49" t="n"/>
    </row>
    <row r="83">
      <c r="A83" s="49" t="n"/>
      <c r="B83" s="49" t="n"/>
      <c r="C83" s="49" t="n"/>
      <c r="D83" s="36">
        <f>IFERROR(INDEX('Employee Database'!$B$3:$B$202,MATCH(C83,'Employee Database'!$A$3:$A$202,0)),"")</f>
        <v/>
      </c>
      <c r="E83" s="51" t="n"/>
      <c r="F83" s="51" t="n"/>
      <c r="G83" s="32">
        <f>SUM(E83:F83)</f>
        <v/>
      </c>
      <c r="H83" s="50" t="n"/>
      <c r="I83" s="49" t="n"/>
      <c r="J83" s="49" t="n"/>
      <c r="K83" s="49" t="n"/>
      <c r="L83" s="49" t="n"/>
    </row>
    <row r="84">
      <c r="A84" s="49" t="n"/>
      <c r="B84" s="49" t="n"/>
      <c r="C84" s="49" t="n"/>
      <c r="D84" s="36">
        <f>IFERROR(INDEX('Employee Database'!$B$3:$B$202,MATCH(C84,'Employee Database'!$A$3:$A$202,0)),"")</f>
        <v/>
      </c>
      <c r="E84" s="51" t="n"/>
      <c r="F84" s="51" t="n"/>
      <c r="G84" s="32">
        <f>SUM(E84:F84)</f>
        <v/>
      </c>
      <c r="H84" s="50" t="n"/>
      <c r="I84" s="49" t="n"/>
      <c r="J84" s="49" t="n"/>
      <c r="K84" s="49" t="n"/>
      <c r="L84" s="49" t="n"/>
    </row>
    <row r="85">
      <c r="A85" s="49" t="n"/>
      <c r="B85" s="49" t="n"/>
      <c r="C85" s="49" t="n"/>
      <c r="D85" s="36">
        <f>IFERROR(INDEX('Employee Database'!$B$3:$B$202,MATCH(C85,'Employee Database'!$A$3:$A$202,0)),"")</f>
        <v/>
      </c>
      <c r="E85" s="51" t="n"/>
      <c r="F85" s="51" t="n"/>
      <c r="G85" s="32">
        <f>SUM(E85:F85)</f>
        <v/>
      </c>
      <c r="H85" s="50" t="n"/>
      <c r="I85" s="49" t="n"/>
      <c r="J85" s="49" t="n"/>
      <c r="K85" s="49" t="n"/>
      <c r="L85" s="49" t="n"/>
    </row>
    <row r="86">
      <c r="A86" s="49" t="n"/>
      <c r="B86" s="49" t="n"/>
      <c r="C86" s="49" t="n"/>
      <c r="D86" s="36">
        <f>IFERROR(INDEX('Employee Database'!$B$3:$B$202,MATCH(C86,'Employee Database'!$A$3:$A$202,0)),"")</f>
        <v/>
      </c>
      <c r="E86" s="51" t="n"/>
      <c r="F86" s="51" t="n"/>
      <c r="G86" s="32">
        <f>SUM(E86:F86)</f>
        <v/>
      </c>
      <c r="H86" s="50" t="n"/>
      <c r="I86" s="49" t="n"/>
      <c r="J86" s="49" t="n"/>
      <c r="K86" s="49" t="n"/>
      <c r="L86" s="49" t="n"/>
    </row>
    <row r="87">
      <c r="A87" s="49" t="n"/>
      <c r="B87" s="49" t="n"/>
      <c r="C87" s="49" t="n"/>
      <c r="D87" s="36">
        <f>IFERROR(INDEX('Employee Database'!$B$3:$B$202,MATCH(C87,'Employee Database'!$A$3:$A$202,0)),"")</f>
        <v/>
      </c>
      <c r="E87" s="51" t="n"/>
      <c r="F87" s="51" t="n"/>
      <c r="G87" s="32">
        <f>SUM(E87:F87)</f>
        <v/>
      </c>
      <c r="H87" s="50" t="n"/>
      <c r="I87" s="49" t="n"/>
      <c r="J87" s="49" t="n"/>
      <c r="K87" s="49" t="n"/>
      <c r="L87" s="49" t="n"/>
    </row>
    <row r="88">
      <c r="A88" s="49" t="n"/>
      <c r="B88" s="49" t="n"/>
      <c r="C88" s="49" t="n"/>
      <c r="D88" s="36">
        <f>IFERROR(INDEX('Employee Database'!$B$3:$B$202,MATCH(C88,'Employee Database'!$A$3:$A$202,0)),"")</f>
        <v/>
      </c>
      <c r="E88" s="51" t="n"/>
      <c r="F88" s="51" t="n"/>
      <c r="G88" s="32">
        <f>SUM(E88:F88)</f>
        <v/>
      </c>
      <c r="H88" s="50" t="n"/>
      <c r="I88" s="49" t="n"/>
      <c r="J88" s="49" t="n"/>
      <c r="K88" s="49" t="n"/>
      <c r="L88" s="49" t="n"/>
    </row>
    <row r="89">
      <c r="A89" s="49" t="n"/>
      <c r="B89" s="49" t="n"/>
      <c r="C89" s="49" t="n"/>
      <c r="D89" s="36">
        <f>IFERROR(INDEX('Employee Database'!$B$3:$B$202,MATCH(C89,'Employee Database'!$A$3:$A$202,0)),"")</f>
        <v/>
      </c>
      <c r="E89" s="51" t="n"/>
      <c r="F89" s="51" t="n"/>
      <c r="G89" s="32">
        <f>SUM(E89:F89)</f>
        <v/>
      </c>
      <c r="H89" s="50" t="n"/>
      <c r="I89" s="49" t="n"/>
      <c r="J89" s="49" t="n"/>
      <c r="K89" s="49" t="n"/>
      <c r="L89" s="49" t="n"/>
    </row>
    <row r="90">
      <c r="A90" s="49" t="n"/>
      <c r="B90" s="49" t="n"/>
      <c r="C90" s="49" t="n"/>
      <c r="D90" s="36">
        <f>IFERROR(INDEX('Employee Database'!$B$3:$B$202,MATCH(C90,'Employee Database'!$A$3:$A$202,0)),"")</f>
        <v/>
      </c>
      <c r="E90" s="51" t="n"/>
      <c r="F90" s="51" t="n"/>
      <c r="G90" s="32">
        <f>SUM(E90:F90)</f>
        <v/>
      </c>
      <c r="H90" s="50" t="n"/>
      <c r="I90" s="49" t="n"/>
      <c r="J90" s="49" t="n"/>
      <c r="K90" s="49" t="n"/>
      <c r="L90" s="49" t="n"/>
    </row>
    <row r="91">
      <c r="A91" s="49" t="n"/>
      <c r="B91" s="49" t="n"/>
      <c r="C91" s="49" t="n"/>
      <c r="D91" s="36">
        <f>IFERROR(INDEX('Employee Database'!$B$3:$B$202,MATCH(C91,'Employee Database'!$A$3:$A$202,0)),"")</f>
        <v/>
      </c>
      <c r="E91" s="51" t="n"/>
      <c r="F91" s="51" t="n"/>
      <c r="G91" s="32">
        <f>SUM(E91:F91)</f>
        <v/>
      </c>
      <c r="H91" s="50" t="n"/>
      <c r="I91" s="49" t="n"/>
      <c r="J91" s="49" t="n"/>
      <c r="K91" s="49" t="n"/>
      <c r="L91" s="49" t="n"/>
    </row>
    <row r="92">
      <c r="A92" s="49" t="n"/>
      <c r="B92" s="49" t="n"/>
      <c r="C92" s="49" t="n"/>
      <c r="D92" s="36">
        <f>IFERROR(INDEX('Employee Database'!$B$3:$B$202,MATCH(C92,'Employee Database'!$A$3:$A$202,0)),"")</f>
        <v/>
      </c>
      <c r="E92" s="51" t="n"/>
      <c r="F92" s="51" t="n"/>
      <c r="G92" s="32">
        <f>SUM(E92:F92)</f>
        <v/>
      </c>
      <c r="H92" s="50" t="n"/>
      <c r="I92" s="49" t="n"/>
      <c r="J92" s="49" t="n"/>
      <c r="K92" s="49" t="n"/>
      <c r="L92" s="49" t="n"/>
    </row>
    <row r="93">
      <c r="A93" s="49" t="n"/>
      <c r="B93" s="49" t="n"/>
      <c r="C93" s="49" t="n"/>
      <c r="D93" s="36">
        <f>IFERROR(INDEX('Employee Database'!$B$3:$B$202,MATCH(C93,'Employee Database'!$A$3:$A$202,0)),"")</f>
        <v/>
      </c>
      <c r="E93" s="51" t="n"/>
      <c r="F93" s="51" t="n"/>
      <c r="G93" s="32">
        <f>SUM(E93:F93)</f>
        <v/>
      </c>
      <c r="H93" s="50" t="n"/>
      <c r="I93" s="49" t="n"/>
      <c r="J93" s="49" t="n"/>
      <c r="K93" s="49" t="n"/>
      <c r="L93" s="49" t="n"/>
    </row>
    <row r="94">
      <c r="A94" s="49" t="n"/>
      <c r="B94" s="49" t="n"/>
      <c r="C94" s="49" t="n"/>
      <c r="D94" s="36">
        <f>IFERROR(INDEX('Employee Database'!$B$3:$B$202,MATCH(C94,'Employee Database'!$A$3:$A$202,0)),"")</f>
        <v/>
      </c>
      <c r="E94" s="51" t="n"/>
      <c r="F94" s="51" t="n"/>
      <c r="G94" s="32">
        <f>SUM(E94:F94)</f>
        <v/>
      </c>
      <c r="H94" s="50" t="n"/>
      <c r="I94" s="49" t="n"/>
      <c r="J94" s="49" t="n"/>
      <c r="K94" s="49" t="n"/>
      <c r="L94" s="49" t="n"/>
    </row>
    <row r="95">
      <c r="A95" s="49" t="n"/>
      <c r="B95" s="49" t="n"/>
      <c r="C95" s="49" t="n"/>
      <c r="D95" s="36">
        <f>IFERROR(INDEX('Employee Database'!$B$3:$B$202,MATCH(C95,'Employee Database'!$A$3:$A$202,0)),"")</f>
        <v/>
      </c>
      <c r="E95" s="51" t="n"/>
      <c r="F95" s="51" t="n"/>
      <c r="G95" s="32">
        <f>SUM(E95:F95)</f>
        <v/>
      </c>
      <c r="H95" s="50" t="n"/>
      <c r="I95" s="49" t="n"/>
      <c r="J95" s="49" t="n"/>
      <c r="K95" s="49" t="n"/>
      <c r="L95" s="49" t="n"/>
    </row>
    <row r="96">
      <c r="A96" s="49" t="n"/>
      <c r="B96" s="49" t="n"/>
      <c r="C96" s="49" t="n"/>
      <c r="D96" s="36">
        <f>IFERROR(INDEX('Employee Database'!$B$3:$B$202,MATCH(C96,'Employee Database'!$A$3:$A$202,0)),"")</f>
        <v/>
      </c>
      <c r="E96" s="51" t="n"/>
      <c r="F96" s="51" t="n"/>
      <c r="G96" s="32">
        <f>SUM(E96:F96)</f>
        <v/>
      </c>
      <c r="H96" s="50" t="n"/>
      <c r="I96" s="49" t="n"/>
      <c r="J96" s="49" t="n"/>
      <c r="K96" s="49" t="n"/>
      <c r="L96" s="49" t="n"/>
    </row>
    <row r="97">
      <c r="A97" s="49" t="n"/>
      <c r="B97" s="49" t="n"/>
      <c r="C97" s="49" t="n"/>
      <c r="D97" s="36">
        <f>IFERROR(INDEX('Employee Database'!$B$3:$B$202,MATCH(C97,'Employee Database'!$A$3:$A$202,0)),"")</f>
        <v/>
      </c>
      <c r="E97" s="51" t="n"/>
      <c r="F97" s="51" t="n"/>
      <c r="G97" s="32">
        <f>SUM(E97:F97)</f>
        <v/>
      </c>
      <c r="H97" s="50" t="n"/>
      <c r="I97" s="49" t="n"/>
      <c r="J97" s="49" t="n"/>
      <c r="K97" s="49" t="n"/>
      <c r="L97" s="49" t="n"/>
    </row>
    <row r="98">
      <c r="A98" s="49" t="n"/>
      <c r="B98" s="49" t="n"/>
      <c r="C98" s="49" t="n"/>
      <c r="D98" s="36">
        <f>IFERROR(INDEX('Employee Database'!$B$3:$B$202,MATCH(C98,'Employee Database'!$A$3:$A$202,0)),"")</f>
        <v/>
      </c>
      <c r="E98" s="51" t="n"/>
      <c r="F98" s="51" t="n"/>
      <c r="G98" s="32">
        <f>SUM(E98:F98)</f>
        <v/>
      </c>
      <c r="H98" s="50" t="n"/>
      <c r="I98" s="49" t="n"/>
      <c r="J98" s="49" t="n"/>
      <c r="K98" s="49" t="n"/>
      <c r="L98" s="49" t="n"/>
    </row>
    <row r="99">
      <c r="A99" s="49" t="n"/>
      <c r="B99" s="49" t="n"/>
      <c r="C99" s="49" t="n"/>
      <c r="D99" s="36">
        <f>IFERROR(INDEX('Employee Database'!$B$3:$B$202,MATCH(C99,'Employee Database'!$A$3:$A$202,0)),"")</f>
        <v/>
      </c>
      <c r="E99" s="51" t="n"/>
      <c r="F99" s="51" t="n"/>
      <c r="G99" s="32">
        <f>SUM(E99:F99)</f>
        <v/>
      </c>
      <c r="H99" s="50" t="n"/>
      <c r="I99" s="49" t="n"/>
      <c r="J99" s="49" t="n"/>
      <c r="K99" s="49" t="n"/>
      <c r="L99" s="49" t="n"/>
    </row>
    <row r="100">
      <c r="A100" s="49" t="n"/>
      <c r="B100" s="49" t="n"/>
      <c r="C100" s="49" t="n"/>
      <c r="D100" s="36">
        <f>IFERROR(INDEX('Employee Database'!$B$3:$B$202,MATCH(C100,'Employee Database'!$A$3:$A$202,0)),"")</f>
        <v/>
      </c>
      <c r="E100" s="51" t="n"/>
      <c r="F100" s="51" t="n"/>
      <c r="G100" s="32">
        <f>SUM(E100:F100)</f>
        <v/>
      </c>
      <c r="H100" s="50" t="n"/>
      <c r="I100" s="49" t="n"/>
      <c r="J100" s="49" t="n"/>
      <c r="K100" s="49" t="n"/>
      <c r="L100" s="49" t="n"/>
    </row>
    <row r="101">
      <c r="A101" s="49" t="n"/>
      <c r="B101" s="49" t="n"/>
      <c r="C101" s="49" t="n"/>
      <c r="D101" s="36">
        <f>IFERROR(INDEX('Employee Database'!$B$3:$B$202,MATCH(C101,'Employee Database'!$A$3:$A$202,0)),"")</f>
        <v/>
      </c>
      <c r="E101" s="51" t="n"/>
      <c r="F101" s="51" t="n"/>
      <c r="G101" s="32">
        <f>SUM(E101:F101)</f>
        <v/>
      </c>
      <c r="H101" s="50" t="n"/>
      <c r="I101" s="49" t="n"/>
      <c r="J101" s="49" t="n"/>
      <c r="K101" s="49" t="n"/>
      <c r="L101" s="49" t="n"/>
    </row>
    <row r="102">
      <c r="A102" s="49" t="n"/>
      <c r="B102" s="49" t="n"/>
      <c r="C102" s="49" t="n"/>
      <c r="D102" s="36">
        <f>IFERROR(INDEX('Employee Database'!$B$3:$B$202,MATCH(C102,'Employee Database'!$A$3:$A$202,0)),"")</f>
        <v/>
      </c>
      <c r="E102" s="51" t="n"/>
      <c r="F102" s="51" t="n"/>
      <c r="G102" s="32">
        <f>SUM(E102:F102)</f>
        <v/>
      </c>
      <c r="H102" s="50" t="n"/>
      <c r="I102" s="49" t="n"/>
      <c r="J102" s="49" t="n"/>
      <c r="K102" s="49" t="n"/>
      <c r="L102" s="49" t="n"/>
    </row>
    <row r="103">
      <c r="A103" s="49" t="n"/>
      <c r="B103" s="49" t="n"/>
      <c r="C103" s="49" t="n"/>
      <c r="D103" s="36">
        <f>IFERROR(INDEX('Employee Database'!$B$3:$B$202,MATCH(C103,'Employee Database'!$A$3:$A$202,0)),"")</f>
        <v/>
      </c>
      <c r="E103" s="51" t="n"/>
      <c r="F103" s="51" t="n"/>
      <c r="G103" s="32">
        <f>SUM(E103:F103)</f>
        <v/>
      </c>
      <c r="H103" s="50" t="n"/>
      <c r="I103" s="49" t="n"/>
      <c r="J103" s="49" t="n"/>
      <c r="K103" s="49" t="n"/>
      <c r="L103" s="49" t="n"/>
    </row>
    <row r="104">
      <c r="A104" s="49" t="n"/>
      <c r="B104" s="49" t="n"/>
      <c r="C104" s="49" t="n"/>
      <c r="D104" s="36">
        <f>IFERROR(INDEX('Employee Database'!$B$3:$B$202,MATCH(C104,'Employee Database'!$A$3:$A$202,0)),"")</f>
        <v/>
      </c>
      <c r="E104" s="51" t="n"/>
      <c r="F104" s="51" t="n"/>
      <c r="G104" s="32">
        <f>SUM(E104:F104)</f>
        <v/>
      </c>
      <c r="H104" s="50" t="n"/>
      <c r="I104" s="49" t="n"/>
      <c r="J104" s="49" t="n"/>
      <c r="K104" s="49" t="n"/>
      <c r="L104" s="49" t="n"/>
    </row>
    <row r="105">
      <c r="A105" s="49" t="n"/>
      <c r="B105" s="49" t="n"/>
      <c r="C105" s="49" t="n"/>
      <c r="D105" s="36">
        <f>IFERROR(INDEX('Employee Database'!$B$3:$B$202,MATCH(C105,'Employee Database'!$A$3:$A$202,0)),"")</f>
        <v/>
      </c>
      <c r="E105" s="51" t="n"/>
      <c r="F105" s="51" t="n"/>
      <c r="G105" s="32">
        <f>SUM(E105:F105)</f>
        <v/>
      </c>
      <c r="H105" s="50" t="n"/>
      <c r="I105" s="49" t="n"/>
      <c r="J105" s="49" t="n"/>
      <c r="K105" s="49" t="n"/>
      <c r="L105" s="49" t="n"/>
    </row>
    <row r="106">
      <c r="A106" s="49" t="n"/>
      <c r="B106" s="49" t="n"/>
      <c r="C106" s="49" t="n"/>
      <c r="D106" s="36">
        <f>IFERROR(INDEX('Employee Database'!$B$3:$B$202,MATCH(C106,'Employee Database'!$A$3:$A$202,0)),"")</f>
        <v/>
      </c>
      <c r="E106" s="51" t="n"/>
      <c r="F106" s="51" t="n"/>
      <c r="G106" s="32">
        <f>SUM(E106:F106)</f>
        <v/>
      </c>
      <c r="H106" s="50" t="n"/>
      <c r="I106" s="49" t="n"/>
      <c r="J106" s="49" t="n"/>
      <c r="K106" s="49" t="n"/>
      <c r="L106" s="49" t="n"/>
    </row>
    <row r="107">
      <c r="A107" s="49" t="n"/>
      <c r="B107" s="49" t="n"/>
      <c r="C107" s="49" t="n"/>
      <c r="D107" s="36">
        <f>IFERROR(INDEX('Employee Database'!$B$3:$B$202,MATCH(C107,'Employee Database'!$A$3:$A$202,0)),"")</f>
        <v/>
      </c>
      <c r="E107" s="51" t="n"/>
      <c r="F107" s="51" t="n"/>
      <c r="G107" s="32">
        <f>SUM(E107:F107)</f>
        <v/>
      </c>
      <c r="H107" s="50" t="n"/>
      <c r="I107" s="49" t="n"/>
      <c r="J107" s="49" t="n"/>
      <c r="K107" s="49" t="n"/>
      <c r="L107" s="49" t="n"/>
    </row>
    <row r="108">
      <c r="A108" s="49" t="n"/>
      <c r="B108" s="49" t="n"/>
      <c r="C108" s="49" t="n"/>
      <c r="D108" s="36">
        <f>IFERROR(INDEX('Employee Database'!$B$3:$B$202,MATCH(C108,'Employee Database'!$A$3:$A$202,0)),"")</f>
        <v/>
      </c>
      <c r="E108" s="51" t="n"/>
      <c r="F108" s="51" t="n"/>
      <c r="G108" s="32">
        <f>SUM(E108:F108)</f>
        <v/>
      </c>
      <c r="H108" s="50" t="n"/>
      <c r="I108" s="49" t="n"/>
      <c r="J108" s="49" t="n"/>
      <c r="K108" s="49" t="n"/>
      <c r="L108" s="49" t="n"/>
    </row>
    <row r="109">
      <c r="A109" s="49" t="n"/>
      <c r="B109" s="49" t="n"/>
      <c r="C109" s="49" t="n"/>
      <c r="D109" s="36">
        <f>IFERROR(INDEX('Employee Database'!$B$3:$B$202,MATCH(C109,'Employee Database'!$A$3:$A$202,0)),"")</f>
        <v/>
      </c>
      <c r="E109" s="51" t="n"/>
      <c r="F109" s="51" t="n"/>
      <c r="G109" s="32">
        <f>SUM(E109:F109)</f>
        <v/>
      </c>
      <c r="H109" s="50" t="n"/>
      <c r="I109" s="49" t="n"/>
      <c r="J109" s="49" t="n"/>
      <c r="K109" s="49" t="n"/>
      <c r="L109" s="49" t="n"/>
    </row>
    <row r="110">
      <c r="A110" s="49" t="n"/>
      <c r="B110" s="49" t="n"/>
      <c r="C110" s="49" t="n"/>
      <c r="D110" s="36">
        <f>IFERROR(INDEX('Employee Database'!$B$3:$B$202,MATCH(C110,'Employee Database'!$A$3:$A$202,0)),"")</f>
        <v/>
      </c>
      <c r="E110" s="51" t="n"/>
      <c r="F110" s="51" t="n"/>
      <c r="G110" s="32">
        <f>SUM(E110:F110)</f>
        <v/>
      </c>
      <c r="H110" s="50" t="n"/>
      <c r="I110" s="49" t="n"/>
      <c r="J110" s="49" t="n"/>
      <c r="K110" s="49" t="n"/>
      <c r="L110" s="49" t="n"/>
    </row>
    <row r="111">
      <c r="A111" s="49" t="n"/>
      <c r="B111" s="49" t="n"/>
      <c r="C111" s="49" t="n"/>
      <c r="D111" s="36">
        <f>IFERROR(INDEX('Employee Database'!$B$3:$B$202,MATCH(C111,'Employee Database'!$A$3:$A$202,0)),"")</f>
        <v/>
      </c>
      <c r="E111" s="51" t="n"/>
      <c r="F111" s="51" t="n"/>
      <c r="G111" s="32">
        <f>SUM(E111:F111)</f>
        <v/>
      </c>
      <c r="H111" s="50" t="n"/>
      <c r="I111" s="49" t="n"/>
      <c r="J111" s="49" t="n"/>
      <c r="K111" s="49" t="n"/>
      <c r="L111" s="49" t="n"/>
    </row>
    <row r="112">
      <c r="A112" s="49" t="n"/>
      <c r="B112" s="49" t="n"/>
      <c r="C112" s="49" t="n"/>
      <c r="D112" s="36">
        <f>IFERROR(INDEX('Employee Database'!$B$3:$B$202,MATCH(C112,'Employee Database'!$A$3:$A$202,0)),"")</f>
        <v/>
      </c>
      <c r="E112" s="51" t="n"/>
      <c r="F112" s="51" t="n"/>
      <c r="G112" s="32">
        <f>SUM(E112:F112)</f>
        <v/>
      </c>
      <c r="H112" s="50" t="n"/>
      <c r="I112" s="49" t="n"/>
      <c r="J112" s="49" t="n"/>
      <c r="K112" s="49" t="n"/>
      <c r="L112" s="49" t="n"/>
    </row>
    <row r="113">
      <c r="A113" s="49" t="n"/>
      <c r="B113" s="49" t="n"/>
      <c r="C113" s="49" t="n"/>
      <c r="D113" s="36">
        <f>IFERROR(INDEX('Employee Database'!$B$3:$B$202,MATCH(C113,'Employee Database'!$A$3:$A$202,0)),"")</f>
        <v/>
      </c>
      <c r="E113" s="51" t="n"/>
      <c r="F113" s="51" t="n"/>
      <c r="G113" s="32">
        <f>SUM(E113:F113)</f>
        <v/>
      </c>
      <c r="H113" s="50" t="n"/>
      <c r="I113" s="49" t="n"/>
      <c r="J113" s="49" t="n"/>
      <c r="K113" s="49" t="n"/>
      <c r="L113" s="49" t="n"/>
    </row>
    <row r="114">
      <c r="A114" s="49" t="n"/>
      <c r="B114" s="49" t="n"/>
      <c r="C114" s="49" t="n"/>
      <c r="D114" s="36">
        <f>IFERROR(INDEX('Employee Database'!$B$3:$B$202,MATCH(C114,'Employee Database'!$A$3:$A$202,0)),"")</f>
        <v/>
      </c>
      <c r="E114" s="51" t="n"/>
      <c r="F114" s="51" t="n"/>
      <c r="G114" s="32">
        <f>SUM(E114:F114)</f>
        <v/>
      </c>
      <c r="H114" s="50" t="n"/>
      <c r="I114" s="49" t="n"/>
      <c r="J114" s="49" t="n"/>
      <c r="K114" s="49" t="n"/>
      <c r="L114" s="49" t="n"/>
    </row>
    <row r="115">
      <c r="A115" s="49" t="n"/>
      <c r="B115" s="49" t="n"/>
      <c r="C115" s="49" t="n"/>
      <c r="D115" s="36">
        <f>IFERROR(INDEX('Employee Database'!$B$3:$B$202,MATCH(C115,'Employee Database'!$A$3:$A$202,0)),"")</f>
        <v/>
      </c>
      <c r="E115" s="51" t="n"/>
      <c r="F115" s="51" t="n"/>
      <c r="G115" s="32">
        <f>SUM(E115:F115)</f>
        <v/>
      </c>
      <c r="H115" s="50" t="n"/>
      <c r="I115" s="49" t="n"/>
      <c r="J115" s="49" t="n"/>
      <c r="K115" s="49" t="n"/>
      <c r="L115" s="49" t="n"/>
    </row>
    <row r="116">
      <c r="A116" s="49" t="n"/>
      <c r="B116" s="49" t="n"/>
      <c r="C116" s="49" t="n"/>
      <c r="D116" s="36">
        <f>IFERROR(INDEX('Employee Database'!$B$3:$B$202,MATCH(C116,'Employee Database'!$A$3:$A$202,0)),"")</f>
        <v/>
      </c>
      <c r="E116" s="51" t="n"/>
      <c r="F116" s="51" t="n"/>
      <c r="G116" s="32">
        <f>SUM(E116:F116)</f>
        <v/>
      </c>
      <c r="H116" s="50" t="n"/>
      <c r="I116" s="49" t="n"/>
      <c r="J116" s="49" t="n"/>
      <c r="K116" s="49" t="n"/>
      <c r="L116" s="49" t="n"/>
    </row>
    <row r="117">
      <c r="A117" s="49" t="n"/>
      <c r="B117" s="49" t="n"/>
      <c r="C117" s="49" t="n"/>
      <c r="D117" s="36">
        <f>IFERROR(INDEX('Employee Database'!$B$3:$B$202,MATCH(C117,'Employee Database'!$A$3:$A$202,0)),"")</f>
        <v/>
      </c>
      <c r="E117" s="51" t="n"/>
      <c r="F117" s="51" t="n"/>
      <c r="G117" s="32">
        <f>SUM(E117:F117)</f>
        <v/>
      </c>
      <c r="H117" s="50" t="n"/>
      <c r="I117" s="49" t="n"/>
      <c r="J117" s="49" t="n"/>
      <c r="K117" s="49" t="n"/>
      <c r="L117" s="49" t="n"/>
    </row>
    <row r="118">
      <c r="A118" s="49" t="n"/>
      <c r="B118" s="49" t="n"/>
      <c r="C118" s="49" t="n"/>
      <c r="D118" s="36">
        <f>IFERROR(INDEX('Employee Database'!$B$3:$B$202,MATCH(C118,'Employee Database'!$A$3:$A$202,0)),"")</f>
        <v/>
      </c>
      <c r="E118" s="51" t="n"/>
      <c r="F118" s="51" t="n"/>
      <c r="G118" s="32">
        <f>SUM(E118:F118)</f>
        <v/>
      </c>
      <c r="H118" s="50" t="n"/>
      <c r="I118" s="49" t="n"/>
      <c r="J118" s="49" t="n"/>
      <c r="K118" s="49" t="n"/>
      <c r="L118" s="49" t="n"/>
    </row>
    <row r="119">
      <c r="A119" s="49" t="n"/>
      <c r="B119" s="49" t="n"/>
      <c r="C119" s="49" t="n"/>
      <c r="D119" s="36">
        <f>IFERROR(INDEX('Employee Database'!$B$3:$B$202,MATCH(C119,'Employee Database'!$A$3:$A$202,0)),"")</f>
        <v/>
      </c>
      <c r="E119" s="51" t="n"/>
      <c r="F119" s="51" t="n"/>
      <c r="G119" s="32">
        <f>SUM(E119:F119)</f>
        <v/>
      </c>
      <c r="H119" s="50" t="n"/>
      <c r="I119" s="49" t="n"/>
      <c r="J119" s="49" t="n"/>
      <c r="K119" s="49" t="n"/>
      <c r="L119" s="49" t="n"/>
    </row>
    <row r="120">
      <c r="A120" s="49" t="n"/>
      <c r="B120" s="49" t="n"/>
      <c r="C120" s="49" t="n"/>
      <c r="D120" s="36">
        <f>IFERROR(INDEX('Employee Database'!$B$3:$B$202,MATCH(C120,'Employee Database'!$A$3:$A$202,0)),"")</f>
        <v/>
      </c>
      <c r="E120" s="51" t="n"/>
      <c r="F120" s="51" t="n"/>
      <c r="G120" s="32">
        <f>SUM(E120:F120)</f>
        <v/>
      </c>
      <c r="H120" s="50" t="n"/>
      <c r="I120" s="49" t="n"/>
      <c r="J120" s="49" t="n"/>
      <c r="K120" s="49" t="n"/>
      <c r="L120" s="49" t="n"/>
    </row>
    <row r="121">
      <c r="A121" s="49" t="n"/>
      <c r="B121" s="49" t="n"/>
      <c r="C121" s="49" t="n"/>
      <c r="D121" s="36">
        <f>IFERROR(INDEX('Employee Database'!$B$3:$B$202,MATCH(C121,'Employee Database'!$A$3:$A$202,0)),"")</f>
        <v/>
      </c>
      <c r="E121" s="51" t="n"/>
      <c r="F121" s="51" t="n"/>
      <c r="G121" s="32">
        <f>SUM(E121:F121)</f>
        <v/>
      </c>
      <c r="H121" s="50" t="n"/>
      <c r="I121" s="49" t="n"/>
      <c r="J121" s="49" t="n"/>
      <c r="K121" s="49" t="n"/>
      <c r="L121" s="49" t="n"/>
    </row>
    <row r="122">
      <c r="A122" s="49" t="n"/>
      <c r="B122" s="49" t="n"/>
      <c r="C122" s="49" t="n"/>
      <c r="D122" s="36">
        <f>IFERROR(INDEX('Employee Database'!$B$3:$B$202,MATCH(C122,'Employee Database'!$A$3:$A$202,0)),"")</f>
        <v/>
      </c>
      <c r="E122" s="51" t="n"/>
      <c r="F122" s="51" t="n"/>
      <c r="G122" s="32">
        <f>SUM(E122:F122)</f>
        <v/>
      </c>
      <c r="H122" s="50" t="n"/>
      <c r="I122" s="49" t="n"/>
      <c r="J122" s="49" t="n"/>
      <c r="K122" s="49" t="n"/>
      <c r="L122" s="49" t="n"/>
    </row>
    <row r="123">
      <c r="A123" s="49" t="n"/>
      <c r="B123" s="49" t="n"/>
      <c r="C123" s="49" t="n"/>
      <c r="D123" s="36">
        <f>IFERROR(INDEX('Employee Database'!$B$3:$B$202,MATCH(C123,'Employee Database'!$A$3:$A$202,0)),"")</f>
        <v/>
      </c>
      <c r="E123" s="51" t="n"/>
      <c r="F123" s="51" t="n"/>
      <c r="G123" s="32">
        <f>SUM(E123:F123)</f>
        <v/>
      </c>
      <c r="H123" s="50" t="n"/>
      <c r="I123" s="49" t="n"/>
      <c r="J123" s="49" t="n"/>
      <c r="K123" s="49" t="n"/>
      <c r="L123" s="49" t="n"/>
    </row>
    <row r="124">
      <c r="A124" s="49" t="n"/>
      <c r="B124" s="49" t="n"/>
      <c r="C124" s="49" t="n"/>
      <c r="D124" s="36">
        <f>IFERROR(INDEX('Employee Database'!$B$3:$B$202,MATCH(C124,'Employee Database'!$A$3:$A$202,0)),"")</f>
        <v/>
      </c>
      <c r="E124" s="51" t="n"/>
      <c r="F124" s="51" t="n"/>
      <c r="G124" s="32">
        <f>SUM(E124:F124)</f>
        <v/>
      </c>
      <c r="H124" s="50" t="n"/>
      <c r="I124" s="49" t="n"/>
      <c r="J124" s="49" t="n"/>
      <c r="K124" s="49" t="n"/>
      <c r="L124" s="49" t="n"/>
    </row>
    <row r="125">
      <c r="A125" s="49" t="n"/>
      <c r="B125" s="49" t="n"/>
      <c r="C125" s="49" t="n"/>
      <c r="D125" s="36">
        <f>IFERROR(INDEX('Employee Database'!$B$3:$B$202,MATCH(C125,'Employee Database'!$A$3:$A$202,0)),"")</f>
        <v/>
      </c>
      <c r="E125" s="51" t="n"/>
      <c r="F125" s="51" t="n"/>
      <c r="G125" s="32">
        <f>SUM(E125:F125)</f>
        <v/>
      </c>
      <c r="H125" s="50" t="n"/>
      <c r="I125" s="49" t="n"/>
      <c r="J125" s="49" t="n"/>
      <c r="K125" s="49" t="n"/>
      <c r="L125" s="49" t="n"/>
    </row>
    <row r="126">
      <c r="A126" s="49" t="n"/>
      <c r="B126" s="49" t="n"/>
      <c r="C126" s="49" t="n"/>
      <c r="D126" s="36">
        <f>IFERROR(INDEX('Employee Database'!$B$3:$B$202,MATCH(C126,'Employee Database'!$A$3:$A$202,0)),"")</f>
        <v/>
      </c>
      <c r="E126" s="51" t="n"/>
      <c r="F126" s="51" t="n"/>
      <c r="G126" s="32">
        <f>SUM(E126:F126)</f>
        <v/>
      </c>
      <c r="H126" s="50" t="n"/>
      <c r="I126" s="49" t="n"/>
      <c r="J126" s="49" t="n"/>
      <c r="K126" s="49" t="n"/>
      <c r="L126" s="49" t="n"/>
    </row>
    <row r="127">
      <c r="A127" s="49" t="n"/>
      <c r="B127" s="49" t="n"/>
      <c r="C127" s="49" t="n"/>
      <c r="D127" s="36">
        <f>IFERROR(INDEX('Employee Database'!$B$3:$B$202,MATCH(C127,'Employee Database'!$A$3:$A$202,0)),"")</f>
        <v/>
      </c>
      <c r="E127" s="51" t="n"/>
      <c r="F127" s="51" t="n"/>
      <c r="G127" s="32">
        <f>SUM(E127:F127)</f>
        <v/>
      </c>
      <c r="H127" s="50" t="n"/>
      <c r="I127" s="49" t="n"/>
      <c r="J127" s="49" t="n"/>
      <c r="K127" s="49" t="n"/>
      <c r="L127" s="49" t="n"/>
    </row>
    <row r="128">
      <c r="A128" s="49" t="n"/>
      <c r="B128" s="49" t="n"/>
      <c r="C128" s="49" t="n"/>
      <c r="D128" s="36">
        <f>IFERROR(INDEX('Employee Database'!$B$3:$B$202,MATCH(C128,'Employee Database'!$A$3:$A$202,0)),"")</f>
        <v/>
      </c>
      <c r="E128" s="51" t="n"/>
      <c r="F128" s="51" t="n"/>
      <c r="G128" s="32">
        <f>SUM(E128:F128)</f>
        <v/>
      </c>
      <c r="H128" s="50" t="n"/>
      <c r="I128" s="49" t="n"/>
      <c r="J128" s="49" t="n"/>
      <c r="K128" s="49" t="n"/>
      <c r="L128" s="49" t="n"/>
    </row>
    <row r="129">
      <c r="A129" s="49" t="n"/>
      <c r="B129" s="49" t="n"/>
      <c r="C129" s="49" t="n"/>
      <c r="D129" s="36">
        <f>IFERROR(INDEX('Employee Database'!$B$3:$B$202,MATCH(C129,'Employee Database'!$A$3:$A$202,0)),"")</f>
        <v/>
      </c>
      <c r="E129" s="51" t="n"/>
      <c r="F129" s="51" t="n"/>
      <c r="G129" s="32">
        <f>SUM(E129:F129)</f>
        <v/>
      </c>
      <c r="H129" s="50" t="n"/>
      <c r="I129" s="49" t="n"/>
      <c r="J129" s="49" t="n"/>
      <c r="K129" s="49" t="n"/>
      <c r="L129" s="49" t="n"/>
    </row>
    <row r="130">
      <c r="A130" s="49" t="n"/>
      <c r="B130" s="49" t="n"/>
      <c r="C130" s="49" t="n"/>
      <c r="D130" s="36">
        <f>IFERROR(INDEX('Employee Database'!$B$3:$B$202,MATCH(C130,'Employee Database'!$A$3:$A$202,0)),"")</f>
        <v/>
      </c>
      <c r="E130" s="51" t="n"/>
      <c r="F130" s="51" t="n"/>
      <c r="G130" s="32">
        <f>SUM(E130:F130)</f>
        <v/>
      </c>
      <c r="H130" s="50" t="n"/>
      <c r="I130" s="49" t="n"/>
      <c r="J130" s="49" t="n"/>
      <c r="K130" s="49" t="n"/>
      <c r="L130" s="49" t="n"/>
    </row>
    <row r="131">
      <c r="A131" s="49" t="n"/>
      <c r="B131" s="49" t="n"/>
      <c r="C131" s="49" t="n"/>
      <c r="D131" s="36">
        <f>IFERROR(INDEX('Employee Database'!$B$3:$B$202,MATCH(C131,'Employee Database'!$A$3:$A$202,0)),"")</f>
        <v/>
      </c>
      <c r="E131" s="51" t="n"/>
      <c r="F131" s="51" t="n"/>
      <c r="G131" s="32">
        <f>SUM(E131:F131)</f>
        <v/>
      </c>
      <c r="H131" s="50" t="n"/>
      <c r="I131" s="49" t="n"/>
      <c r="J131" s="49" t="n"/>
      <c r="K131" s="49" t="n"/>
      <c r="L131" s="49" t="n"/>
    </row>
    <row r="132">
      <c r="A132" s="49" t="n"/>
      <c r="B132" s="49" t="n"/>
      <c r="C132" s="49" t="n"/>
      <c r="D132" s="36">
        <f>IFERROR(INDEX('Employee Database'!$B$3:$B$202,MATCH(C132,'Employee Database'!$A$3:$A$202,0)),"")</f>
        <v/>
      </c>
      <c r="E132" s="51" t="n"/>
      <c r="F132" s="51" t="n"/>
      <c r="G132" s="32">
        <f>SUM(E132:F132)</f>
        <v/>
      </c>
      <c r="H132" s="50" t="n"/>
      <c r="I132" s="49" t="n"/>
      <c r="J132" s="49" t="n"/>
      <c r="K132" s="49" t="n"/>
      <c r="L132" s="49" t="n"/>
    </row>
    <row r="133">
      <c r="A133" s="49" t="n"/>
      <c r="B133" s="49" t="n"/>
      <c r="C133" s="49" t="n"/>
      <c r="D133" s="36">
        <f>IFERROR(INDEX('Employee Database'!$B$3:$B$202,MATCH(C133,'Employee Database'!$A$3:$A$202,0)),"")</f>
        <v/>
      </c>
      <c r="E133" s="51" t="n"/>
      <c r="F133" s="51" t="n"/>
      <c r="G133" s="32">
        <f>SUM(E133:F133)</f>
        <v/>
      </c>
      <c r="H133" s="50" t="n"/>
      <c r="I133" s="49" t="n"/>
      <c r="J133" s="49" t="n"/>
      <c r="K133" s="49" t="n"/>
      <c r="L133" s="49" t="n"/>
    </row>
    <row r="134">
      <c r="A134" s="49" t="n"/>
      <c r="B134" s="49" t="n"/>
      <c r="C134" s="49" t="n"/>
      <c r="D134" s="36">
        <f>IFERROR(INDEX('Employee Database'!$B$3:$B$202,MATCH(C134,'Employee Database'!$A$3:$A$202,0)),"")</f>
        <v/>
      </c>
      <c r="E134" s="51" t="n"/>
      <c r="F134" s="51" t="n"/>
      <c r="G134" s="32">
        <f>SUM(E134:F134)</f>
        <v/>
      </c>
      <c r="H134" s="50" t="n"/>
      <c r="I134" s="49" t="n"/>
      <c r="J134" s="49" t="n"/>
      <c r="K134" s="49" t="n"/>
      <c r="L134" s="49" t="n"/>
    </row>
    <row r="135">
      <c r="A135" s="49" t="n"/>
      <c r="B135" s="49" t="n"/>
      <c r="C135" s="49" t="n"/>
      <c r="D135" s="36">
        <f>IFERROR(INDEX('Employee Database'!$B$3:$B$202,MATCH(C135,'Employee Database'!$A$3:$A$202,0)),"")</f>
        <v/>
      </c>
      <c r="E135" s="51" t="n"/>
      <c r="F135" s="51" t="n"/>
      <c r="G135" s="32">
        <f>SUM(E135:F135)</f>
        <v/>
      </c>
      <c r="H135" s="50" t="n"/>
      <c r="I135" s="49" t="n"/>
      <c r="J135" s="49" t="n"/>
      <c r="K135" s="49" t="n"/>
      <c r="L135" s="49" t="n"/>
    </row>
    <row r="136">
      <c r="A136" s="49" t="n"/>
      <c r="B136" s="49" t="n"/>
      <c r="C136" s="49" t="n"/>
      <c r="D136" s="36">
        <f>IFERROR(INDEX('Employee Database'!$B$3:$B$202,MATCH(C136,'Employee Database'!$A$3:$A$202,0)),"")</f>
        <v/>
      </c>
      <c r="E136" s="51" t="n"/>
      <c r="F136" s="51" t="n"/>
      <c r="G136" s="32">
        <f>SUM(E136:F136)</f>
        <v/>
      </c>
      <c r="H136" s="50" t="n"/>
      <c r="I136" s="49" t="n"/>
      <c r="J136" s="49" t="n"/>
      <c r="K136" s="49" t="n"/>
      <c r="L136" s="49" t="n"/>
    </row>
    <row r="137">
      <c r="A137" s="49" t="n"/>
      <c r="B137" s="49" t="n"/>
      <c r="C137" s="49" t="n"/>
      <c r="D137" s="36">
        <f>IFERROR(INDEX('Employee Database'!$B$3:$B$202,MATCH(C137,'Employee Database'!$A$3:$A$202,0)),"")</f>
        <v/>
      </c>
      <c r="E137" s="51" t="n"/>
      <c r="F137" s="51" t="n"/>
      <c r="G137" s="32">
        <f>SUM(E137:F137)</f>
        <v/>
      </c>
      <c r="H137" s="50" t="n"/>
      <c r="I137" s="49" t="n"/>
      <c r="J137" s="49" t="n"/>
      <c r="K137" s="49" t="n"/>
      <c r="L137" s="49" t="n"/>
    </row>
    <row r="138">
      <c r="A138" s="49" t="n"/>
      <c r="B138" s="49" t="n"/>
      <c r="C138" s="49" t="n"/>
      <c r="D138" s="36">
        <f>IFERROR(INDEX('Employee Database'!$B$3:$B$202,MATCH(C138,'Employee Database'!$A$3:$A$202,0)),"")</f>
        <v/>
      </c>
      <c r="E138" s="51" t="n"/>
      <c r="F138" s="51" t="n"/>
      <c r="G138" s="32">
        <f>SUM(E138:F138)</f>
        <v/>
      </c>
      <c r="H138" s="50" t="n"/>
      <c r="I138" s="49" t="n"/>
      <c r="J138" s="49" t="n"/>
      <c r="K138" s="49" t="n"/>
      <c r="L138" s="49" t="n"/>
    </row>
    <row r="139">
      <c r="A139" s="49" t="n"/>
      <c r="B139" s="49" t="n"/>
      <c r="C139" s="49" t="n"/>
      <c r="D139" s="36">
        <f>IFERROR(INDEX('Employee Database'!$B$3:$B$202,MATCH(C139,'Employee Database'!$A$3:$A$202,0)),"")</f>
        <v/>
      </c>
      <c r="E139" s="51" t="n"/>
      <c r="F139" s="51" t="n"/>
      <c r="G139" s="32">
        <f>SUM(E139:F139)</f>
        <v/>
      </c>
      <c r="H139" s="50" t="n"/>
      <c r="I139" s="49" t="n"/>
      <c r="J139" s="49" t="n"/>
      <c r="K139" s="49" t="n"/>
      <c r="L139" s="49" t="n"/>
    </row>
    <row r="140">
      <c r="A140" s="49" t="n"/>
      <c r="B140" s="49" t="n"/>
      <c r="C140" s="49" t="n"/>
      <c r="D140" s="36">
        <f>IFERROR(INDEX('Employee Database'!$B$3:$B$202,MATCH(C140,'Employee Database'!$A$3:$A$202,0)),"")</f>
        <v/>
      </c>
      <c r="E140" s="51" t="n"/>
      <c r="F140" s="51" t="n"/>
      <c r="G140" s="32">
        <f>SUM(E140:F140)</f>
        <v/>
      </c>
      <c r="H140" s="50" t="n"/>
      <c r="I140" s="49" t="n"/>
      <c r="J140" s="49" t="n"/>
      <c r="K140" s="49" t="n"/>
      <c r="L140" s="49" t="n"/>
    </row>
    <row r="141">
      <c r="A141" s="49" t="n"/>
      <c r="B141" s="49" t="n"/>
      <c r="C141" s="49" t="n"/>
      <c r="D141" s="36">
        <f>IFERROR(INDEX('Employee Database'!$B$3:$B$202,MATCH(C141,'Employee Database'!$A$3:$A$202,0)),"")</f>
        <v/>
      </c>
      <c r="E141" s="51" t="n"/>
      <c r="F141" s="51" t="n"/>
      <c r="G141" s="32">
        <f>SUM(E141:F141)</f>
        <v/>
      </c>
      <c r="H141" s="50" t="n"/>
      <c r="I141" s="49" t="n"/>
      <c r="J141" s="49" t="n"/>
      <c r="K141" s="49" t="n"/>
      <c r="L141" s="49" t="n"/>
    </row>
    <row r="142">
      <c r="A142" s="49" t="n"/>
      <c r="B142" s="49" t="n"/>
      <c r="C142" s="49" t="n"/>
      <c r="D142" s="36">
        <f>IFERROR(INDEX('Employee Database'!$B$3:$B$202,MATCH(C142,'Employee Database'!$A$3:$A$202,0)),"")</f>
        <v/>
      </c>
      <c r="E142" s="51" t="n"/>
      <c r="F142" s="51" t="n"/>
      <c r="G142" s="32">
        <f>SUM(E142:F142)</f>
        <v/>
      </c>
      <c r="H142" s="50" t="n"/>
      <c r="I142" s="49" t="n"/>
      <c r="J142" s="49" t="n"/>
      <c r="K142" s="49" t="n"/>
      <c r="L142" s="49" t="n"/>
    </row>
    <row r="143">
      <c r="A143" s="49" t="n"/>
      <c r="B143" s="49" t="n"/>
      <c r="C143" s="49" t="n"/>
      <c r="D143" s="36">
        <f>IFERROR(INDEX('Employee Database'!$B$3:$B$202,MATCH(C143,'Employee Database'!$A$3:$A$202,0)),"")</f>
        <v/>
      </c>
      <c r="E143" s="51" t="n"/>
      <c r="F143" s="51" t="n"/>
      <c r="G143" s="32">
        <f>SUM(E143:F143)</f>
        <v/>
      </c>
      <c r="H143" s="50" t="n"/>
      <c r="I143" s="49" t="n"/>
      <c r="J143" s="49" t="n"/>
      <c r="K143" s="49" t="n"/>
      <c r="L143" s="49" t="n"/>
    </row>
    <row r="144">
      <c r="A144" s="49" t="n"/>
      <c r="B144" s="49" t="n"/>
      <c r="C144" s="49" t="n"/>
      <c r="D144" s="36">
        <f>IFERROR(INDEX('Employee Database'!$B$3:$B$202,MATCH(C144,'Employee Database'!$A$3:$A$202,0)),"")</f>
        <v/>
      </c>
      <c r="E144" s="51" t="n"/>
      <c r="F144" s="51" t="n"/>
      <c r="G144" s="32">
        <f>SUM(E144:F144)</f>
        <v/>
      </c>
      <c r="H144" s="50" t="n"/>
      <c r="I144" s="49" t="n"/>
      <c r="J144" s="49" t="n"/>
      <c r="K144" s="49" t="n"/>
      <c r="L144" s="49" t="n"/>
    </row>
    <row r="145">
      <c r="A145" s="49" t="n"/>
      <c r="B145" s="49" t="n"/>
      <c r="C145" s="49" t="n"/>
      <c r="D145" s="36">
        <f>IFERROR(INDEX('Employee Database'!$B$3:$B$202,MATCH(C145,'Employee Database'!$A$3:$A$202,0)),"")</f>
        <v/>
      </c>
      <c r="E145" s="51" t="n"/>
      <c r="F145" s="51" t="n"/>
      <c r="G145" s="32">
        <f>SUM(E145:F145)</f>
        <v/>
      </c>
      <c r="H145" s="50" t="n"/>
      <c r="I145" s="49" t="n"/>
      <c r="J145" s="49" t="n"/>
      <c r="K145" s="49" t="n"/>
      <c r="L145" s="49" t="n"/>
    </row>
    <row r="146">
      <c r="A146" s="49" t="n"/>
      <c r="B146" s="49" t="n"/>
      <c r="C146" s="49" t="n"/>
      <c r="D146" s="36">
        <f>IFERROR(INDEX('Employee Database'!$B$3:$B$202,MATCH(C146,'Employee Database'!$A$3:$A$202,0)),"")</f>
        <v/>
      </c>
      <c r="E146" s="51" t="n"/>
      <c r="F146" s="51" t="n"/>
      <c r="G146" s="32">
        <f>SUM(E146:F146)</f>
        <v/>
      </c>
      <c r="H146" s="50" t="n"/>
      <c r="I146" s="49" t="n"/>
      <c r="J146" s="49" t="n"/>
      <c r="K146" s="49" t="n"/>
      <c r="L146" s="49" t="n"/>
    </row>
    <row r="147">
      <c r="A147" s="49" t="n"/>
      <c r="B147" s="49" t="n"/>
      <c r="C147" s="49" t="n"/>
      <c r="D147" s="36">
        <f>IFERROR(INDEX('Employee Database'!$B$3:$B$202,MATCH(C147,'Employee Database'!$A$3:$A$202,0)),"")</f>
        <v/>
      </c>
      <c r="E147" s="51" t="n"/>
      <c r="F147" s="51" t="n"/>
      <c r="G147" s="32">
        <f>SUM(E147:F147)</f>
        <v/>
      </c>
      <c r="H147" s="50" t="n"/>
      <c r="I147" s="49" t="n"/>
      <c r="J147" s="49" t="n"/>
      <c r="K147" s="49" t="n"/>
      <c r="L147" s="49" t="n"/>
    </row>
    <row r="148">
      <c r="A148" s="49" t="n"/>
      <c r="B148" s="49" t="n"/>
      <c r="C148" s="49" t="n"/>
      <c r="D148" s="36">
        <f>IFERROR(INDEX('Employee Database'!$B$3:$B$202,MATCH(C148,'Employee Database'!$A$3:$A$202,0)),"")</f>
        <v/>
      </c>
      <c r="E148" s="51" t="n"/>
      <c r="F148" s="51" t="n"/>
      <c r="G148" s="32">
        <f>SUM(E148:F148)</f>
        <v/>
      </c>
      <c r="H148" s="50" t="n"/>
      <c r="I148" s="49" t="n"/>
      <c r="J148" s="49" t="n"/>
      <c r="K148" s="49" t="n"/>
      <c r="L148" s="49" t="n"/>
    </row>
    <row r="149">
      <c r="A149" s="49" t="n"/>
      <c r="B149" s="49" t="n"/>
      <c r="C149" s="49" t="n"/>
      <c r="D149" s="36">
        <f>IFERROR(INDEX('Employee Database'!$B$3:$B$202,MATCH(C149,'Employee Database'!$A$3:$A$202,0)),"")</f>
        <v/>
      </c>
      <c r="E149" s="51" t="n"/>
      <c r="F149" s="51" t="n"/>
      <c r="G149" s="32">
        <f>SUM(E149:F149)</f>
        <v/>
      </c>
      <c r="H149" s="50" t="n"/>
      <c r="I149" s="49" t="n"/>
      <c r="J149" s="49" t="n"/>
      <c r="K149" s="49" t="n"/>
      <c r="L149" s="49" t="n"/>
    </row>
    <row r="150">
      <c r="A150" s="49" t="n"/>
      <c r="B150" s="49" t="n"/>
      <c r="C150" s="49" t="n"/>
      <c r="D150" s="36">
        <f>IFERROR(INDEX('Employee Database'!$B$3:$B$202,MATCH(C150,'Employee Database'!$A$3:$A$202,0)),"")</f>
        <v/>
      </c>
      <c r="E150" s="51" t="n"/>
      <c r="F150" s="51" t="n"/>
      <c r="G150" s="32">
        <f>SUM(E150:F150)</f>
        <v/>
      </c>
      <c r="H150" s="50" t="n"/>
      <c r="I150" s="49" t="n"/>
      <c r="J150" s="49" t="n"/>
      <c r="K150" s="49" t="n"/>
      <c r="L150" s="49" t="n"/>
    </row>
    <row r="151">
      <c r="A151" s="49" t="n"/>
      <c r="B151" s="49" t="n"/>
      <c r="C151" s="49" t="n"/>
      <c r="D151" s="36">
        <f>IFERROR(INDEX('Employee Database'!$B$3:$B$202,MATCH(C151,'Employee Database'!$A$3:$A$202,0)),"")</f>
        <v/>
      </c>
      <c r="E151" s="51" t="n"/>
      <c r="F151" s="51" t="n"/>
      <c r="G151" s="32">
        <f>SUM(E151:F151)</f>
        <v/>
      </c>
      <c r="H151" s="50" t="n"/>
      <c r="I151" s="49" t="n"/>
      <c r="J151" s="49" t="n"/>
      <c r="K151" s="49" t="n"/>
      <c r="L151" s="49" t="n"/>
    </row>
    <row r="152">
      <c r="A152" s="49" t="n"/>
      <c r="B152" s="49" t="n"/>
      <c r="C152" s="49" t="n"/>
      <c r="D152" s="36">
        <f>IFERROR(INDEX('Employee Database'!$B$3:$B$202,MATCH(C152,'Employee Database'!$A$3:$A$202,0)),"")</f>
        <v/>
      </c>
      <c r="E152" s="51" t="n"/>
      <c r="F152" s="51" t="n"/>
      <c r="G152" s="32">
        <f>SUM(E152:F152)</f>
        <v/>
      </c>
      <c r="H152" s="50" t="n"/>
      <c r="I152" s="49" t="n"/>
      <c r="J152" s="49" t="n"/>
      <c r="K152" s="49" t="n"/>
      <c r="L152" s="49" t="n"/>
    </row>
    <row r="153">
      <c r="A153" s="49" t="n"/>
      <c r="B153" s="49" t="n"/>
      <c r="C153" s="49" t="n"/>
      <c r="D153" s="36">
        <f>IFERROR(INDEX('Employee Database'!$B$3:$B$202,MATCH(C153,'Employee Database'!$A$3:$A$202,0)),"")</f>
        <v/>
      </c>
      <c r="E153" s="51" t="n"/>
      <c r="F153" s="51" t="n"/>
      <c r="G153" s="32">
        <f>SUM(E153:F153)</f>
        <v/>
      </c>
      <c r="H153" s="50" t="n"/>
      <c r="I153" s="49" t="n"/>
      <c r="J153" s="49" t="n"/>
      <c r="K153" s="49" t="n"/>
      <c r="L153" s="49" t="n"/>
    </row>
    <row r="154">
      <c r="A154" s="49" t="n"/>
      <c r="B154" s="49" t="n"/>
      <c r="C154" s="49" t="n"/>
      <c r="D154" s="36">
        <f>IFERROR(INDEX('Employee Database'!$B$3:$B$202,MATCH(C154,'Employee Database'!$A$3:$A$202,0)),"")</f>
        <v/>
      </c>
      <c r="E154" s="51" t="n"/>
      <c r="F154" s="51" t="n"/>
      <c r="G154" s="32">
        <f>SUM(E154:F154)</f>
        <v/>
      </c>
      <c r="H154" s="50" t="n"/>
      <c r="I154" s="49" t="n"/>
      <c r="J154" s="49" t="n"/>
      <c r="K154" s="49" t="n"/>
      <c r="L154" s="49" t="n"/>
    </row>
    <row r="155">
      <c r="A155" s="49" t="n"/>
      <c r="B155" s="49" t="n"/>
      <c r="C155" s="49" t="n"/>
      <c r="D155" s="36">
        <f>IFERROR(INDEX('Employee Database'!$B$3:$B$202,MATCH(C155,'Employee Database'!$A$3:$A$202,0)),"")</f>
        <v/>
      </c>
      <c r="E155" s="51" t="n"/>
      <c r="F155" s="51" t="n"/>
      <c r="G155" s="32">
        <f>SUM(E155:F155)</f>
        <v/>
      </c>
      <c r="H155" s="50" t="n"/>
      <c r="I155" s="49" t="n"/>
      <c r="J155" s="49" t="n"/>
      <c r="K155" s="49" t="n"/>
      <c r="L155" s="49" t="n"/>
    </row>
    <row r="156">
      <c r="A156" s="49" t="n"/>
      <c r="B156" s="49" t="n"/>
      <c r="C156" s="49" t="n"/>
      <c r="D156" s="36">
        <f>IFERROR(INDEX('Employee Database'!$B$3:$B$202,MATCH(C156,'Employee Database'!$A$3:$A$202,0)),"")</f>
        <v/>
      </c>
      <c r="E156" s="51" t="n"/>
      <c r="F156" s="51" t="n"/>
      <c r="G156" s="32">
        <f>SUM(E156:F156)</f>
        <v/>
      </c>
      <c r="H156" s="50" t="n"/>
      <c r="I156" s="49" t="n"/>
      <c r="J156" s="49" t="n"/>
      <c r="K156" s="49" t="n"/>
      <c r="L156" s="49" t="n"/>
    </row>
    <row r="157">
      <c r="A157" s="49" t="n"/>
      <c r="B157" s="49" t="n"/>
      <c r="C157" s="49" t="n"/>
      <c r="D157" s="36">
        <f>IFERROR(INDEX('Employee Database'!$B$3:$B$202,MATCH(C157,'Employee Database'!$A$3:$A$202,0)),"")</f>
        <v/>
      </c>
      <c r="E157" s="51" t="n"/>
      <c r="F157" s="51" t="n"/>
      <c r="G157" s="32">
        <f>SUM(E157:F157)</f>
        <v/>
      </c>
      <c r="H157" s="50" t="n"/>
      <c r="I157" s="49" t="n"/>
      <c r="J157" s="49" t="n"/>
      <c r="K157" s="49" t="n"/>
      <c r="L157" s="49" t="n"/>
    </row>
    <row r="158">
      <c r="A158" s="49" t="n"/>
      <c r="B158" s="49" t="n"/>
      <c r="C158" s="49" t="n"/>
      <c r="D158" s="36">
        <f>IFERROR(INDEX('Employee Database'!$B$3:$B$202,MATCH(C158,'Employee Database'!$A$3:$A$202,0)),"")</f>
        <v/>
      </c>
      <c r="E158" s="51" t="n"/>
      <c r="F158" s="51" t="n"/>
      <c r="G158" s="32">
        <f>SUM(E158:F158)</f>
        <v/>
      </c>
      <c r="H158" s="50" t="n"/>
      <c r="I158" s="49" t="n"/>
      <c r="J158" s="49" t="n"/>
      <c r="K158" s="49" t="n"/>
      <c r="L158" s="49" t="n"/>
    </row>
    <row r="159">
      <c r="A159" s="49" t="n"/>
      <c r="B159" s="49" t="n"/>
      <c r="C159" s="49" t="n"/>
      <c r="D159" s="36">
        <f>IFERROR(INDEX('Employee Database'!$B$3:$B$202,MATCH(C159,'Employee Database'!$A$3:$A$202,0)),"")</f>
        <v/>
      </c>
      <c r="E159" s="51" t="n"/>
      <c r="F159" s="51" t="n"/>
      <c r="G159" s="32">
        <f>SUM(E159:F159)</f>
        <v/>
      </c>
      <c r="H159" s="50" t="n"/>
      <c r="I159" s="49" t="n"/>
      <c r="J159" s="49" t="n"/>
      <c r="K159" s="49" t="n"/>
      <c r="L159" s="49" t="n"/>
    </row>
    <row r="160">
      <c r="A160" s="49" t="n"/>
      <c r="B160" s="49" t="n"/>
      <c r="C160" s="49" t="n"/>
      <c r="D160" s="36">
        <f>IFERROR(INDEX('Employee Database'!$B$3:$B$202,MATCH(C160,'Employee Database'!$A$3:$A$202,0)),"")</f>
        <v/>
      </c>
      <c r="E160" s="51" t="n"/>
      <c r="F160" s="51" t="n"/>
      <c r="G160" s="32">
        <f>SUM(E160:F160)</f>
        <v/>
      </c>
      <c r="H160" s="50" t="n"/>
      <c r="I160" s="49" t="n"/>
      <c r="J160" s="49" t="n"/>
      <c r="K160" s="49" t="n"/>
      <c r="L160" s="49" t="n"/>
    </row>
    <row r="161">
      <c r="A161" s="49" t="n"/>
      <c r="B161" s="49" t="n"/>
      <c r="C161" s="49" t="n"/>
      <c r="D161" s="36">
        <f>IFERROR(INDEX('Employee Database'!$B$3:$B$202,MATCH(C161,'Employee Database'!$A$3:$A$202,0)),"")</f>
        <v/>
      </c>
      <c r="E161" s="51" t="n"/>
      <c r="F161" s="51" t="n"/>
      <c r="G161" s="32">
        <f>SUM(E161:F161)</f>
        <v/>
      </c>
      <c r="H161" s="50" t="n"/>
      <c r="I161" s="49" t="n"/>
      <c r="J161" s="49" t="n"/>
      <c r="K161" s="49" t="n"/>
      <c r="L161" s="49" t="n"/>
    </row>
    <row r="162">
      <c r="A162" s="49" t="n"/>
      <c r="B162" s="49" t="n"/>
      <c r="C162" s="49" t="n"/>
      <c r="D162" s="36">
        <f>IFERROR(INDEX('Employee Database'!$B$3:$B$202,MATCH(C162,'Employee Database'!$A$3:$A$202,0)),"")</f>
        <v/>
      </c>
      <c r="E162" s="51" t="n"/>
      <c r="F162" s="51" t="n"/>
      <c r="G162" s="32">
        <f>SUM(E162:F162)</f>
        <v/>
      </c>
      <c r="H162" s="50" t="n"/>
      <c r="I162" s="49" t="n"/>
      <c r="J162" s="49" t="n"/>
      <c r="K162" s="49" t="n"/>
      <c r="L162" s="49" t="n"/>
    </row>
    <row r="163">
      <c r="A163" s="49" t="n"/>
      <c r="B163" s="49" t="n"/>
      <c r="C163" s="49" t="n"/>
      <c r="D163" s="36">
        <f>IFERROR(INDEX('Employee Database'!$B$3:$B$202,MATCH(C163,'Employee Database'!$A$3:$A$202,0)),"")</f>
        <v/>
      </c>
      <c r="E163" s="51" t="n"/>
      <c r="F163" s="51" t="n"/>
      <c r="G163" s="32">
        <f>SUM(E163:F163)</f>
        <v/>
      </c>
      <c r="H163" s="50" t="n"/>
      <c r="I163" s="49" t="n"/>
      <c r="J163" s="49" t="n"/>
      <c r="K163" s="49" t="n"/>
      <c r="L163" s="49" t="n"/>
    </row>
    <row r="164">
      <c r="A164" s="49" t="n"/>
      <c r="B164" s="49" t="n"/>
      <c r="C164" s="49" t="n"/>
      <c r="D164" s="36">
        <f>IFERROR(INDEX('Employee Database'!$B$3:$B$202,MATCH(C164,'Employee Database'!$A$3:$A$202,0)),"")</f>
        <v/>
      </c>
      <c r="E164" s="51" t="n"/>
      <c r="F164" s="51" t="n"/>
      <c r="G164" s="32">
        <f>SUM(E164:F164)</f>
        <v/>
      </c>
      <c r="H164" s="50" t="n"/>
      <c r="I164" s="49" t="n"/>
      <c r="J164" s="49" t="n"/>
      <c r="K164" s="49" t="n"/>
      <c r="L164" s="49" t="n"/>
    </row>
    <row r="165">
      <c r="A165" s="49" t="n"/>
      <c r="B165" s="49" t="n"/>
      <c r="C165" s="49" t="n"/>
      <c r="D165" s="36">
        <f>IFERROR(INDEX('Employee Database'!$B$3:$B$202,MATCH(C165,'Employee Database'!$A$3:$A$202,0)),"")</f>
        <v/>
      </c>
      <c r="E165" s="51" t="n"/>
      <c r="F165" s="51" t="n"/>
      <c r="G165" s="32">
        <f>SUM(E165:F165)</f>
        <v/>
      </c>
      <c r="H165" s="50" t="n"/>
      <c r="I165" s="49" t="n"/>
      <c r="J165" s="49" t="n"/>
      <c r="K165" s="49" t="n"/>
      <c r="L165" s="49" t="n"/>
    </row>
    <row r="166">
      <c r="A166" s="49" t="n"/>
      <c r="B166" s="49" t="n"/>
      <c r="C166" s="49" t="n"/>
      <c r="D166" s="36">
        <f>IFERROR(INDEX('Employee Database'!$B$3:$B$202,MATCH(C166,'Employee Database'!$A$3:$A$202,0)),"")</f>
        <v/>
      </c>
      <c r="E166" s="51" t="n"/>
      <c r="F166" s="51" t="n"/>
      <c r="G166" s="32">
        <f>SUM(E166:F166)</f>
        <v/>
      </c>
      <c r="H166" s="50" t="n"/>
      <c r="I166" s="49" t="n"/>
      <c r="J166" s="49" t="n"/>
      <c r="K166" s="49" t="n"/>
      <c r="L166" s="49" t="n"/>
    </row>
    <row r="167">
      <c r="A167" s="49" t="n"/>
      <c r="B167" s="49" t="n"/>
      <c r="C167" s="49" t="n"/>
      <c r="D167" s="36">
        <f>IFERROR(INDEX('Employee Database'!$B$3:$B$202,MATCH(C167,'Employee Database'!$A$3:$A$202,0)),"")</f>
        <v/>
      </c>
      <c r="E167" s="51" t="n"/>
      <c r="F167" s="51" t="n"/>
      <c r="G167" s="32">
        <f>SUM(E167:F167)</f>
        <v/>
      </c>
      <c r="H167" s="50" t="n"/>
      <c r="I167" s="49" t="n"/>
      <c r="J167" s="49" t="n"/>
      <c r="K167" s="49" t="n"/>
      <c r="L167" s="49" t="n"/>
    </row>
    <row r="168">
      <c r="A168" s="49" t="n"/>
      <c r="B168" s="49" t="n"/>
      <c r="C168" s="49" t="n"/>
      <c r="D168" s="36">
        <f>IFERROR(INDEX('Employee Database'!$B$3:$B$202,MATCH(C168,'Employee Database'!$A$3:$A$202,0)),"")</f>
        <v/>
      </c>
      <c r="E168" s="51" t="n"/>
      <c r="F168" s="51" t="n"/>
      <c r="G168" s="32">
        <f>SUM(E168:F168)</f>
        <v/>
      </c>
      <c r="H168" s="50" t="n"/>
      <c r="I168" s="49" t="n"/>
      <c r="J168" s="49" t="n"/>
      <c r="K168" s="49" t="n"/>
      <c r="L168" s="49" t="n"/>
    </row>
    <row r="169">
      <c r="A169" s="49" t="n"/>
      <c r="B169" s="49" t="n"/>
      <c r="C169" s="49" t="n"/>
      <c r="D169" s="36">
        <f>IFERROR(INDEX('Employee Database'!$B$3:$B$202,MATCH(C169,'Employee Database'!$A$3:$A$202,0)),"")</f>
        <v/>
      </c>
      <c r="E169" s="51" t="n"/>
      <c r="F169" s="51" t="n"/>
      <c r="G169" s="32">
        <f>SUM(E169:F169)</f>
        <v/>
      </c>
      <c r="H169" s="50" t="n"/>
      <c r="I169" s="49" t="n"/>
      <c r="J169" s="49" t="n"/>
      <c r="K169" s="49" t="n"/>
      <c r="L169" s="49" t="n"/>
    </row>
    <row r="170">
      <c r="A170" s="49" t="n"/>
      <c r="B170" s="49" t="n"/>
      <c r="C170" s="49" t="n"/>
      <c r="D170" s="36">
        <f>IFERROR(INDEX('Employee Database'!$B$3:$B$202,MATCH(C170,'Employee Database'!$A$3:$A$202,0)),"")</f>
        <v/>
      </c>
      <c r="E170" s="51" t="n"/>
      <c r="F170" s="51" t="n"/>
      <c r="G170" s="32">
        <f>SUM(E170:F170)</f>
        <v/>
      </c>
      <c r="H170" s="50" t="n"/>
      <c r="I170" s="49" t="n"/>
      <c r="J170" s="49" t="n"/>
      <c r="K170" s="49" t="n"/>
      <c r="L170" s="49" t="n"/>
    </row>
    <row r="171">
      <c r="A171" s="49" t="n"/>
      <c r="B171" s="49" t="n"/>
      <c r="C171" s="49" t="n"/>
      <c r="D171" s="36">
        <f>IFERROR(INDEX('Employee Database'!$B$3:$B$202,MATCH(C171,'Employee Database'!$A$3:$A$202,0)),"")</f>
        <v/>
      </c>
      <c r="E171" s="51" t="n"/>
      <c r="F171" s="51" t="n"/>
      <c r="G171" s="32">
        <f>SUM(E171:F171)</f>
        <v/>
      </c>
      <c r="H171" s="50" t="n"/>
      <c r="I171" s="49" t="n"/>
      <c r="J171" s="49" t="n"/>
      <c r="K171" s="49" t="n"/>
      <c r="L171" s="49" t="n"/>
    </row>
    <row r="172">
      <c r="A172" s="49" t="n"/>
      <c r="B172" s="49" t="n"/>
      <c r="C172" s="49" t="n"/>
      <c r="D172" s="36">
        <f>IFERROR(INDEX('Employee Database'!$B$3:$B$202,MATCH(C172,'Employee Database'!$A$3:$A$202,0)),"")</f>
        <v/>
      </c>
      <c r="E172" s="51" t="n"/>
      <c r="F172" s="51" t="n"/>
      <c r="G172" s="32">
        <f>SUM(E172:F172)</f>
        <v/>
      </c>
      <c r="H172" s="50" t="n"/>
      <c r="I172" s="49" t="n"/>
      <c r="J172" s="49" t="n"/>
      <c r="K172" s="49" t="n"/>
      <c r="L172" s="49" t="n"/>
    </row>
    <row r="173">
      <c r="A173" s="49" t="n"/>
      <c r="B173" s="49" t="n"/>
      <c r="C173" s="49" t="n"/>
      <c r="D173" s="36">
        <f>IFERROR(INDEX('Employee Database'!$B$3:$B$202,MATCH(C173,'Employee Database'!$A$3:$A$202,0)),"")</f>
        <v/>
      </c>
      <c r="E173" s="51" t="n"/>
      <c r="F173" s="51" t="n"/>
      <c r="G173" s="32">
        <f>SUM(E173:F173)</f>
        <v/>
      </c>
      <c r="H173" s="50" t="n"/>
      <c r="I173" s="49" t="n"/>
      <c r="J173" s="49" t="n"/>
      <c r="K173" s="49" t="n"/>
      <c r="L173" s="49" t="n"/>
    </row>
    <row r="174">
      <c r="A174" s="49" t="n"/>
      <c r="B174" s="49" t="n"/>
      <c r="C174" s="49" t="n"/>
      <c r="D174" s="36">
        <f>IFERROR(INDEX('Employee Database'!$B$3:$B$202,MATCH(C174,'Employee Database'!$A$3:$A$202,0)),"")</f>
        <v/>
      </c>
      <c r="E174" s="51" t="n"/>
      <c r="F174" s="51" t="n"/>
      <c r="G174" s="32">
        <f>SUM(E174:F174)</f>
        <v/>
      </c>
      <c r="H174" s="50" t="n"/>
      <c r="I174" s="49" t="n"/>
      <c r="J174" s="49" t="n"/>
      <c r="K174" s="49" t="n"/>
      <c r="L174" s="49" t="n"/>
    </row>
    <row r="175">
      <c r="A175" s="49" t="n"/>
      <c r="B175" s="49" t="n"/>
      <c r="C175" s="49" t="n"/>
      <c r="D175" s="36">
        <f>IFERROR(INDEX('Employee Database'!$B$3:$B$202,MATCH(C175,'Employee Database'!$A$3:$A$202,0)),"")</f>
        <v/>
      </c>
      <c r="E175" s="51" t="n"/>
      <c r="F175" s="51" t="n"/>
      <c r="G175" s="32">
        <f>SUM(E175:F175)</f>
        <v/>
      </c>
      <c r="H175" s="50" t="n"/>
      <c r="I175" s="49" t="n"/>
      <c r="J175" s="49" t="n"/>
      <c r="K175" s="49" t="n"/>
      <c r="L175" s="49" t="n"/>
    </row>
    <row r="176">
      <c r="A176" s="49" t="n"/>
      <c r="B176" s="49" t="n"/>
      <c r="C176" s="49" t="n"/>
      <c r="D176" s="36">
        <f>IFERROR(INDEX('Employee Database'!$B$3:$B$202,MATCH(C176,'Employee Database'!$A$3:$A$202,0)),"")</f>
        <v/>
      </c>
      <c r="E176" s="51" t="n"/>
      <c r="F176" s="51" t="n"/>
      <c r="G176" s="32">
        <f>SUM(E176:F176)</f>
        <v/>
      </c>
      <c r="H176" s="50" t="n"/>
      <c r="I176" s="49" t="n"/>
      <c r="J176" s="49" t="n"/>
      <c r="K176" s="49" t="n"/>
      <c r="L176" s="49" t="n"/>
    </row>
    <row r="177">
      <c r="A177" s="49" t="n"/>
      <c r="B177" s="49" t="n"/>
      <c r="C177" s="49" t="n"/>
      <c r="D177" s="36">
        <f>IFERROR(INDEX('Employee Database'!$B$3:$B$202,MATCH(C177,'Employee Database'!$A$3:$A$202,0)),"")</f>
        <v/>
      </c>
      <c r="E177" s="51" t="n"/>
      <c r="F177" s="51" t="n"/>
      <c r="G177" s="32">
        <f>SUM(E177:F177)</f>
        <v/>
      </c>
      <c r="H177" s="50" t="n"/>
      <c r="I177" s="49" t="n"/>
      <c r="J177" s="49" t="n"/>
      <c r="K177" s="49" t="n"/>
      <c r="L177" s="49" t="n"/>
    </row>
    <row r="178">
      <c r="A178" s="49" t="n"/>
      <c r="B178" s="49" t="n"/>
      <c r="C178" s="49" t="n"/>
      <c r="D178" s="36">
        <f>IFERROR(INDEX('Employee Database'!$B$3:$B$202,MATCH(C178,'Employee Database'!$A$3:$A$202,0)),"")</f>
        <v/>
      </c>
      <c r="E178" s="51" t="n"/>
      <c r="F178" s="51" t="n"/>
      <c r="G178" s="32">
        <f>SUM(E178:F178)</f>
        <v/>
      </c>
      <c r="H178" s="50" t="n"/>
      <c r="I178" s="49" t="n"/>
      <c r="J178" s="49" t="n"/>
      <c r="K178" s="49" t="n"/>
      <c r="L178" s="49" t="n"/>
    </row>
    <row r="179">
      <c r="A179" s="49" t="n"/>
      <c r="B179" s="49" t="n"/>
      <c r="C179" s="49" t="n"/>
      <c r="D179" s="36">
        <f>IFERROR(INDEX('Employee Database'!$B$3:$B$202,MATCH(C179,'Employee Database'!$A$3:$A$202,0)),"")</f>
        <v/>
      </c>
      <c r="E179" s="51" t="n"/>
      <c r="F179" s="51" t="n"/>
      <c r="G179" s="32">
        <f>SUM(E179:F179)</f>
        <v/>
      </c>
      <c r="H179" s="50" t="n"/>
      <c r="I179" s="49" t="n"/>
      <c r="J179" s="49" t="n"/>
      <c r="K179" s="49" t="n"/>
      <c r="L179" s="49" t="n"/>
    </row>
    <row r="180">
      <c r="A180" s="49" t="n"/>
      <c r="B180" s="49" t="n"/>
      <c r="C180" s="49" t="n"/>
      <c r="D180" s="36">
        <f>IFERROR(INDEX('Employee Database'!$B$3:$B$202,MATCH(C180,'Employee Database'!$A$3:$A$202,0)),"")</f>
        <v/>
      </c>
      <c r="E180" s="51" t="n"/>
      <c r="F180" s="51" t="n"/>
      <c r="G180" s="32">
        <f>SUM(E180:F180)</f>
        <v/>
      </c>
      <c r="H180" s="50" t="n"/>
      <c r="I180" s="49" t="n"/>
      <c r="J180" s="49" t="n"/>
      <c r="K180" s="49" t="n"/>
      <c r="L180" s="49" t="n"/>
    </row>
    <row r="181">
      <c r="A181" s="49" t="n"/>
      <c r="B181" s="49" t="n"/>
      <c r="C181" s="49" t="n"/>
      <c r="D181" s="36">
        <f>IFERROR(INDEX('Employee Database'!$B$3:$B$202,MATCH(C181,'Employee Database'!$A$3:$A$202,0)),"")</f>
        <v/>
      </c>
      <c r="E181" s="51" t="n"/>
      <c r="F181" s="51" t="n"/>
      <c r="G181" s="32">
        <f>SUM(E181:F181)</f>
        <v/>
      </c>
      <c r="H181" s="50" t="n"/>
      <c r="I181" s="49" t="n"/>
      <c r="J181" s="49" t="n"/>
      <c r="K181" s="49" t="n"/>
      <c r="L181" s="49" t="n"/>
    </row>
    <row r="182">
      <c r="A182" s="49" t="n"/>
      <c r="B182" s="49" t="n"/>
      <c r="C182" s="49" t="n"/>
      <c r="D182" s="36">
        <f>IFERROR(INDEX('Employee Database'!$B$3:$B$202,MATCH(C182,'Employee Database'!$A$3:$A$202,0)),"")</f>
        <v/>
      </c>
      <c r="E182" s="51" t="n"/>
      <c r="F182" s="51" t="n"/>
      <c r="G182" s="32">
        <f>SUM(E182:F182)</f>
        <v/>
      </c>
      <c r="H182" s="50" t="n"/>
      <c r="I182" s="49" t="n"/>
      <c r="J182" s="49" t="n"/>
      <c r="K182" s="49" t="n"/>
      <c r="L182" s="49" t="n"/>
    </row>
    <row r="183">
      <c r="A183" s="49" t="n"/>
      <c r="B183" s="49" t="n"/>
      <c r="C183" s="49" t="n"/>
      <c r="D183" s="36">
        <f>IFERROR(INDEX('Employee Database'!$B$3:$B$202,MATCH(C183,'Employee Database'!$A$3:$A$202,0)),"")</f>
        <v/>
      </c>
      <c r="E183" s="51" t="n"/>
      <c r="F183" s="51" t="n"/>
      <c r="G183" s="32">
        <f>SUM(E183:F183)</f>
        <v/>
      </c>
      <c r="H183" s="50" t="n"/>
      <c r="I183" s="49" t="n"/>
      <c r="J183" s="49" t="n"/>
      <c r="K183" s="49" t="n"/>
      <c r="L183" s="49" t="n"/>
    </row>
    <row r="184">
      <c r="A184" s="49" t="n"/>
      <c r="B184" s="49" t="n"/>
      <c r="C184" s="49" t="n"/>
      <c r="D184" s="36">
        <f>IFERROR(INDEX('Employee Database'!$B$3:$B$202,MATCH(C184,'Employee Database'!$A$3:$A$202,0)),"")</f>
        <v/>
      </c>
      <c r="E184" s="51" t="n"/>
      <c r="F184" s="51" t="n"/>
      <c r="G184" s="32">
        <f>SUM(E184:F184)</f>
        <v/>
      </c>
      <c r="H184" s="50" t="n"/>
      <c r="I184" s="49" t="n"/>
      <c r="J184" s="49" t="n"/>
      <c r="K184" s="49" t="n"/>
      <c r="L184" s="49" t="n"/>
    </row>
    <row r="185">
      <c r="A185" s="49" t="n"/>
      <c r="B185" s="49" t="n"/>
      <c r="C185" s="49" t="n"/>
      <c r="D185" s="36">
        <f>IFERROR(INDEX('Employee Database'!$B$3:$B$202,MATCH(C185,'Employee Database'!$A$3:$A$202,0)),"")</f>
        <v/>
      </c>
      <c r="E185" s="51" t="n"/>
      <c r="F185" s="51" t="n"/>
      <c r="G185" s="32">
        <f>SUM(E185:F185)</f>
        <v/>
      </c>
      <c r="H185" s="50" t="n"/>
      <c r="I185" s="49" t="n"/>
      <c r="J185" s="49" t="n"/>
      <c r="K185" s="49" t="n"/>
      <c r="L185" s="49" t="n"/>
    </row>
    <row r="186">
      <c r="A186" s="49" t="n"/>
      <c r="B186" s="49" t="n"/>
      <c r="C186" s="49" t="n"/>
      <c r="D186" s="36">
        <f>IFERROR(INDEX('Employee Database'!$B$3:$B$202,MATCH(C186,'Employee Database'!$A$3:$A$202,0)),"")</f>
        <v/>
      </c>
      <c r="E186" s="51" t="n"/>
      <c r="F186" s="51" t="n"/>
      <c r="G186" s="32">
        <f>SUM(E186:F186)</f>
        <v/>
      </c>
      <c r="H186" s="50" t="n"/>
      <c r="I186" s="49" t="n"/>
      <c r="J186" s="49" t="n"/>
      <c r="K186" s="49" t="n"/>
      <c r="L186" s="49" t="n"/>
    </row>
    <row r="187">
      <c r="A187" s="49" t="n"/>
      <c r="B187" s="49" t="n"/>
      <c r="C187" s="49" t="n"/>
      <c r="D187" s="36">
        <f>IFERROR(INDEX('Employee Database'!$B$3:$B$202,MATCH(C187,'Employee Database'!$A$3:$A$202,0)),"")</f>
        <v/>
      </c>
      <c r="E187" s="51" t="n"/>
      <c r="F187" s="51" t="n"/>
      <c r="G187" s="32">
        <f>SUM(E187:F187)</f>
        <v/>
      </c>
      <c r="H187" s="50" t="n"/>
      <c r="I187" s="49" t="n"/>
      <c r="J187" s="49" t="n"/>
      <c r="K187" s="49" t="n"/>
      <c r="L187" s="49" t="n"/>
    </row>
    <row r="188">
      <c r="A188" s="49" t="n"/>
      <c r="B188" s="49" t="n"/>
      <c r="C188" s="49" t="n"/>
      <c r="D188" s="36">
        <f>IFERROR(INDEX('Employee Database'!$B$3:$B$202,MATCH(C188,'Employee Database'!$A$3:$A$202,0)),"")</f>
        <v/>
      </c>
      <c r="E188" s="51" t="n"/>
      <c r="F188" s="51" t="n"/>
      <c r="G188" s="32">
        <f>SUM(E188:F188)</f>
        <v/>
      </c>
      <c r="H188" s="50" t="n"/>
      <c r="I188" s="49" t="n"/>
      <c r="J188" s="49" t="n"/>
      <c r="K188" s="49" t="n"/>
      <c r="L188" s="49" t="n"/>
    </row>
    <row r="189">
      <c r="A189" s="49" t="n"/>
      <c r="B189" s="49" t="n"/>
      <c r="C189" s="49" t="n"/>
      <c r="D189" s="36">
        <f>IFERROR(INDEX('Employee Database'!$B$3:$B$202,MATCH(C189,'Employee Database'!$A$3:$A$202,0)),"")</f>
        <v/>
      </c>
      <c r="E189" s="51" t="n"/>
      <c r="F189" s="51" t="n"/>
      <c r="G189" s="32">
        <f>SUM(E189:F189)</f>
        <v/>
      </c>
      <c r="H189" s="50" t="n"/>
      <c r="I189" s="49" t="n"/>
      <c r="J189" s="49" t="n"/>
      <c r="K189" s="49" t="n"/>
      <c r="L189" s="49" t="n"/>
    </row>
    <row r="190">
      <c r="A190" s="49" t="n"/>
      <c r="B190" s="49" t="n"/>
      <c r="C190" s="49" t="n"/>
      <c r="D190" s="36">
        <f>IFERROR(INDEX('Employee Database'!$B$3:$B$202,MATCH(C190,'Employee Database'!$A$3:$A$202,0)),"")</f>
        <v/>
      </c>
      <c r="E190" s="51" t="n"/>
      <c r="F190" s="51" t="n"/>
      <c r="G190" s="32">
        <f>SUM(E190:F190)</f>
        <v/>
      </c>
      <c r="H190" s="50" t="n"/>
      <c r="I190" s="49" t="n"/>
      <c r="J190" s="49" t="n"/>
      <c r="K190" s="49" t="n"/>
      <c r="L190" s="49" t="n"/>
    </row>
    <row r="191">
      <c r="A191" s="49" t="n"/>
      <c r="B191" s="49" t="n"/>
      <c r="C191" s="49" t="n"/>
      <c r="D191" s="36">
        <f>IFERROR(INDEX('Employee Database'!$B$3:$B$202,MATCH(C191,'Employee Database'!$A$3:$A$202,0)),"")</f>
        <v/>
      </c>
      <c r="E191" s="51" t="n"/>
      <c r="F191" s="51" t="n"/>
      <c r="G191" s="32">
        <f>SUM(E191:F191)</f>
        <v/>
      </c>
      <c r="H191" s="50" t="n"/>
      <c r="I191" s="49" t="n"/>
      <c r="J191" s="49" t="n"/>
      <c r="K191" s="49" t="n"/>
      <c r="L191" s="49" t="n"/>
    </row>
    <row r="192">
      <c r="A192" s="49" t="n"/>
      <c r="B192" s="49" t="n"/>
      <c r="C192" s="49" t="n"/>
      <c r="D192" s="36">
        <f>IFERROR(INDEX('Employee Database'!$B$3:$B$202,MATCH(C192,'Employee Database'!$A$3:$A$202,0)),"")</f>
        <v/>
      </c>
      <c r="E192" s="51" t="n"/>
      <c r="F192" s="51" t="n"/>
      <c r="G192" s="32">
        <f>SUM(E192:F192)</f>
        <v/>
      </c>
      <c r="H192" s="50" t="n"/>
      <c r="I192" s="49" t="n"/>
      <c r="J192" s="49" t="n"/>
      <c r="K192" s="49" t="n"/>
      <c r="L192" s="49" t="n"/>
    </row>
    <row r="193">
      <c r="A193" s="49" t="n"/>
      <c r="B193" s="49" t="n"/>
      <c r="C193" s="49" t="n"/>
      <c r="D193" s="36">
        <f>IFERROR(INDEX('Employee Database'!$B$3:$B$202,MATCH(C193,'Employee Database'!$A$3:$A$202,0)),"")</f>
        <v/>
      </c>
      <c r="E193" s="51" t="n"/>
      <c r="F193" s="51" t="n"/>
      <c r="G193" s="32">
        <f>SUM(E193:F193)</f>
        <v/>
      </c>
      <c r="H193" s="50" t="n"/>
      <c r="I193" s="49" t="n"/>
      <c r="J193" s="49" t="n"/>
      <c r="K193" s="49" t="n"/>
      <c r="L193" s="49" t="n"/>
    </row>
    <row r="194">
      <c r="A194" s="49" t="n"/>
      <c r="B194" s="49" t="n"/>
      <c r="C194" s="49" t="n"/>
      <c r="D194" s="36">
        <f>IFERROR(INDEX('Employee Database'!$B$3:$B$202,MATCH(C194,'Employee Database'!$A$3:$A$202,0)),"")</f>
        <v/>
      </c>
      <c r="E194" s="51" t="n"/>
      <c r="F194" s="51" t="n"/>
      <c r="G194" s="32">
        <f>SUM(E194:F194)</f>
        <v/>
      </c>
      <c r="H194" s="50" t="n"/>
      <c r="I194" s="49" t="n"/>
      <c r="J194" s="49" t="n"/>
      <c r="K194" s="49" t="n"/>
      <c r="L194" s="49" t="n"/>
    </row>
    <row r="195">
      <c r="A195" s="49" t="n"/>
      <c r="B195" s="49" t="n"/>
      <c r="C195" s="49" t="n"/>
      <c r="D195" s="36">
        <f>IFERROR(INDEX('Employee Database'!$B$3:$B$202,MATCH(C195,'Employee Database'!$A$3:$A$202,0)),"")</f>
        <v/>
      </c>
      <c r="E195" s="51" t="n"/>
      <c r="F195" s="51" t="n"/>
      <c r="G195" s="32">
        <f>SUM(E195:F195)</f>
        <v/>
      </c>
      <c r="H195" s="50" t="n"/>
      <c r="I195" s="49" t="n"/>
      <c r="J195" s="49" t="n"/>
      <c r="K195" s="49" t="n"/>
      <c r="L195" s="49" t="n"/>
    </row>
    <row r="196">
      <c r="A196" s="49" t="n"/>
      <c r="B196" s="49" t="n"/>
      <c r="C196" s="49" t="n"/>
      <c r="D196" s="36">
        <f>IFERROR(INDEX('Employee Database'!$B$3:$B$202,MATCH(C196,'Employee Database'!$A$3:$A$202,0)),"")</f>
        <v/>
      </c>
      <c r="E196" s="51" t="n"/>
      <c r="F196" s="51" t="n"/>
      <c r="G196" s="32">
        <f>SUM(E196:F196)</f>
        <v/>
      </c>
      <c r="H196" s="50" t="n"/>
      <c r="I196" s="49" t="n"/>
      <c r="J196" s="49" t="n"/>
      <c r="K196" s="49" t="n"/>
      <c r="L196" s="49" t="n"/>
    </row>
    <row r="197">
      <c r="A197" s="49" t="n"/>
      <c r="B197" s="49" t="n"/>
      <c r="C197" s="49" t="n"/>
      <c r="D197" s="36">
        <f>IFERROR(INDEX('Employee Database'!$B$3:$B$202,MATCH(C197,'Employee Database'!$A$3:$A$202,0)),"")</f>
        <v/>
      </c>
      <c r="E197" s="51" t="n"/>
      <c r="F197" s="51" t="n"/>
      <c r="G197" s="32">
        <f>SUM(E197:F197)</f>
        <v/>
      </c>
      <c r="H197" s="50" t="n"/>
      <c r="I197" s="49" t="n"/>
      <c r="J197" s="49" t="n"/>
      <c r="K197" s="49" t="n"/>
      <c r="L197" s="49" t="n"/>
    </row>
    <row r="198">
      <c r="A198" s="49" t="n"/>
      <c r="B198" s="49" t="n"/>
      <c r="C198" s="49" t="n"/>
      <c r="D198" s="36">
        <f>IFERROR(INDEX('Employee Database'!$B$3:$B$202,MATCH(C198,'Employee Database'!$A$3:$A$202,0)),"")</f>
        <v/>
      </c>
      <c r="E198" s="51" t="n"/>
      <c r="F198" s="51" t="n"/>
      <c r="G198" s="32">
        <f>SUM(E198:F198)</f>
        <v/>
      </c>
      <c r="H198" s="50" t="n"/>
      <c r="I198" s="49" t="n"/>
      <c r="J198" s="49" t="n"/>
      <c r="K198" s="49" t="n"/>
      <c r="L198" s="49" t="n"/>
    </row>
    <row r="199">
      <c r="A199" s="49" t="n"/>
      <c r="B199" s="49" t="n"/>
      <c r="C199" s="49" t="n"/>
      <c r="D199" s="36">
        <f>IFERROR(INDEX('Employee Database'!$B$3:$B$202,MATCH(C199,'Employee Database'!$A$3:$A$202,0)),"")</f>
        <v/>
      </c>
      <c r="E199" s="51" t="n"/>
      <c r="F199" s="51" t="n"/>
      <c r="G199" s="32">
        <f>SUM(E199:F199)</f>
        <v/>
      </c>
      <c r="H199" s="50" t="n"/>
      <c r="I199" s="49" t="n"/>
      <c r="J199" s="49" t="n"/>
      <c r="K199" s="49" t="n"/>
      <c r="L199" s="49" t="n"/>
    </row>
    <row r="200">
      <c r="A200" s="49" t="n"/>
      <c r="B200" s="49" t="n"/>
      <c r="C200" s="49" t="n"/>
      <c r="D200" s="36">
        <f>IFERROR(INDEX('Employee Database'!$B$3:$B$202,MATCH(C200,'Employee Database'!$A$3:$A$202,0)),"")</f>
        <v/>
      </c>
      <c r="E200" s="51" t="n"/>
      <c r="F200" s="51" t="n"/>
      <c r="G200" s="32">
        <f>SUM(E200:F200)</f>
        <v/>
      </c>
      <c r="H200" s="50" t="n"/>
      <c r="I200" s="49" t="n"/>
      <c r="J200" s="49" t="n"/>
      <c r="K200" s="49" t="n"/>
      <c r="L200" s="49" t="n"/>
    </row>
    <row r="201">
      <c r="A201" s="49" t="n"/>
      <c r="B201" s="49" t="n"/>
      <c r="C201" s="49" t="n"/>
      <c r="D201" s="36">
        <f>IFERROR(INDEX('Employee Database'!$B$3:$B$202,MATCH(C201,'Employee Database'!$A$3:$A$202,0)),"")</f>
        <v/>
      </c>
      <c r="E201" s="51" t="n"/>
      <c r="F201" s="51" t="n"/>
      <c r="G201" s="32">
        <f>SUM(E201:F201)</f>
        <v/>
      </c>
      <c r="H201" s="50" t="n"/>
      <c r="I201" s="49" t="n"/>
      <c r="J201" s="49" t="n"/>
      <c r="K201" s="49" t="n"/>
      <c r="L201" s="49" t="n"/>
    </row>
    <row r="202">
      <c r="A202" s="49" t="n"/>
      <c r="B202" s="49" t="n"/>
      <c r="C202" s="49" t="n"/>
      <c r="D202" s="36">
        <f>IFERROR(INDEX('Employee Database'!$B$3:$B$202,MATCH(C202,'Employee Database'!$A$3:$A$202,0)),"")</f>
        <v/>
      </c>
      <c r="E202" s="51" t="n"/>
      <c r="F202" s="51" t="n"/>
      <c r="G202" s="32">
        <f>SUM(E202:F202)</f>
        <v/>
      </c>
      <c r="H202" s="50" t="n"/>
      <c r="I202" s="49" t="n"/>
      <c r="J202" s="49" t="n"/>
      <c r="K202" s="49" t="n"/>
      <c r="L202" s="49" t="n"/>
    </row>
  </sheetData>
  <mergeCells count="1">
    <mergeCell ref="A1:L1"/>
  </mergeCells>
  <dataValidations count="1">
    <dataValidation sqref="J3:J202" showDropDown="0" showInputMessage="0" showErrorMessage="0" allowBlank="1" type="list">
      <formula1>"Pending,Remitted,Reconciled,On Hold"</formula1>
    </dataValidation>
  </dataValidations>
  <pageMargins left="0.3" right="0.3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0017365D"/>
    <outlinePr summaryBelow="1" summaryRight="1"/>
    <pageSetUpPr fitToPage="1"/>
  </sheetPr>
  <dimension ref="A1:K202"/>
  <sheetViews>
    <sheetView showGridLines="0" zoomScale="95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4" customWidth="1" min="3" max="3"/>
    <col width="20" customWidth="1" min="4" max="4"/>
    <col width="17" customWidth="1" min="5" max="5"/>
    <col width="17" customWidth="1" min="6" max="6"/>
    <col width="17" customWidth="1" min="7" max="7"/>
    <col width="13" customWidth="1" min="8" max="8"/>
    <col width="20" customWidth="1" min="9" max="9"/>
    <col width="22" customWidth="1" min="10" max="10"/>
    <col width="32" customWidth="1" min="11" max="11"/>
  </cols>
  <sheetData>
    <row r="1">
      <c r="A1" s="37" t="inlineStr">
        <is>
          <t>AVERRA — LEAVE TRACKER</t>
        </is>
      </c>
    </row>
    <row r="2" ht="32" customHeight="1">
      <c r="A2" s="33" t="inlineStr">
        <is>
          <t>Request ID</t>
        </is>
      </c>
      <c r="B2" s="33" t="inlineStr">
        <is>
          <t>Employee ID</t>
        </is>
      </c>
      <c r="C2" s="33" t="inlineStr">
        <is>
          <t>Employee Name</t>
        </is>
      </c>
      <c r="D2" s="33" t="inlineStr">
        <is>
          <t>Leave Type</t>
        </is>
      </c>
      <c r="E2" s="33" t="inlineStr">
        <is>
          <t>Start Date</t>
        </is>
      </c>
      <c r="F2" s="33" t="inlineStr">
        <is>
          <t>End Date</t>
        </is>
      </c>
      <c r="G2" s="33" t="inlineStr">
        <is>
          <t>Working Days</t>
        </is>
      </c>
      <c r="H2" s="33" t="inlineStr">
        <is>
          <t>Paid?</t>
        </is>
      </c>
      <c r="I2" s="33" t="inlineStr">
        <is>
          <t>Approval Status</t>
        </is>
      </c>
      <c r="J2" s="33" t="inlineStr">
        <is>
          <t>Approved By</t>
        </is>
      </c>
      <c r="K2" s="33" t="inlineStr">
        <is>
          <t>Notes</t>
        </is>
      </c>
    </row>
    <row r="3">
      <c r="A3" s="49" t="n"/>
      <c r="B3" s="49" t="n"/>
      <c r="C3" s="36">
        <f>IFERROR(INDEX('Employee Database'!$B$3:$B$202,MATCH(B3,'Employee Database'!$A$3:$A$202,0)),"")</f>
        <v/>
      </c>
      <c r="D3" s="49" t="n"/>
      <c r="E3" s="50" t="n"/>
      <c r="F3" s="50" t="n"/>
      <c r="G3" s="36">
        <f>IF(OR(E3="",F3=""),"",NETWORKDAYS(E3,F3))</f>
        <v/>
      </c>
      <c r="H3" s="49" t="n"/>
      <c r="I3" s="49" t="n"/>
      <c r="J3" s="49" t="n"/>
      <c r="K3" s="49" t="n"/>
    </row>
    <row r="4">
      <c r="A4" s="49" t="n"/>
      <c r="B4" s="49" t="n"/>
      <c r="C4" s="36">
        <f>IFERROR(INDEX('Employee Database'!$B$3:$B$202,MATCH(B4,'Employee Database'!$A$3:$A$202,0)),"")</f>
        <v/>
      </c>
      <c r="D4" s="49" t="n"/>
      <c r="E4" s="50" t="n"/>
      <c r="F4" s="50" t="n"/>
      <c r="G4" s="36">
        <f>IF(OR(E4="",F4=""),"",NETWORKDAYS(E4,F4))</f>
        <v/>
      </c>
      <c r="H4" s="49" t="n"/>
      <c r="I4" s="49" t="n"/>
      <c r="J4" s="49" t="n"/>
      <c r="K4" s="49" t="n"/>
    </row>
    <row r="5">
      <c r="A5" s="49" t="n"/>
      <c r="B5" s="49" t="n"/>
      <c r="C5" s="36">
        <f>IFERROR(INDEX('Employee Database'!$B$3:$B$202,MATCH(B5,'Employee Database'!$A$3:$A$202,0)),"")</f>
        <v/>
      </c>
      <c r="D5" s="49" t="n"/>
      <c r="E5" s="50" t="n"/>
      <c r="F5" s="50" t="n"/>
      <c r="G5" s="36">
        <f>IF(OR(E5="",F5=""),"",NETWORKDAYS(E5,F5))</f>
        <v/>
      </c>
      <c r="H5" s="49" t="n"/>
      <c r="I5" s="49" t="n"/>
      <c r="J5" s="49" t="n"/>
      <c r="K5" s="49" t="n"/>
    </row>
    <row r="6">
      <c r="A6" s="49" t="n"/>
      <c r="B6" s="49" t="n"/>
      <c r="C6" s="36">
        <f>IFERROR(INDEX('Employee Database'!$B$3:$B$202,MATCH(B6,'Employee Database'!$A$3:$A$202,0)),"")</f>
        <v/>
      </c>
      <c r="D6" s="49" t="n"/>
      <c r="E6" s="50" t="n"/>
      <c r="F6" s="50" t="n"/>
      <c r="G6" s="36">
        <f>IF(OR(E6="",F6=""),"",NETWORKDAYS(E6,F6))</f>
        <v/>
      </c>
      <c r="H6" s="49" t="n"/>
      <c r="I6" s="49" t="n"/>
      <c r="J6" s="49" t="n"/>
      <c r="K6" s="49" t="n"/>
    </row>
    <row r="7">
      <c r="A7" s="49" t="n"/>
      <c r="B7" s="49" t="n"/>
      <c r="C7" s="36">
        <f>IFERROR(INDEX('Employee Database'!$B$3:$B$202,MATCH(B7,'Employee Database'!$A$3:$A$202,0)),"")</f>
        <v/>
      </c>
      <c r="D7" s="49" t="n"/>
      <c r="E7" s="50" t="n"/>
      <c r="F7" s="50" t="n"/>
      <c r="G7" s="36">
        <f>IF(OR(E7="",F7=""),"",NETWORKDAYS(E7,F7))</f>
        <v/>
      </c>
      <c r="H7" s="49" t="n"/>
      <c r="I7" s="49" t="n"/>
      <c r="J7" s="49" t="n"/>
      <c r="K7" s="49" t="n"/>
    </row>
    <row r="8">
      <c r="A8" s="49" t="n"/>
      <c r="B8" s="49" t="n"/>
      <c r="C8" s="36">
        <f>IFERROR(INDEX('Employee Database'!$B$3:$B$202,MATCH(B8,'Employee Database'!$A$3:$A$202,0)),"")</f>
        <v/>
      </c>
      <c r="D8" s="49" t="n"/>
      <c r="E8" s="50" t="n"/>
      <c r="F8" s="50" t="n"/>
      <c r="G8" s="36">
        <f>IF(OR(E8="",F8=""),"",NETWORKDAYS(E8,F8))</f>
        <v/>
      </c>
      <c r="H8" s="49" t="n"/>
      <c r="I8" s="49" t="n"/>
      <c r="J8" s="49" t="n"/>
      <c r="K8" s="49" t="n"/>
    </row>
    <row r="9">
      <c r="A9" s="49" t="n"/>
      <c r="B9" s="49" t="n"/>
      <c r="C9" s="36">
        <f>IFERROR(INDEX('Employee Database'!$B$3:$B$202,MATCH(B9,'Employee Database'!$A$3:$A$202,0)),"")</f>
        <v/>
      </c>
      <c r="D9" s="49" t="n"/>
      <c r="E9" s="50" t="n"/>
      <c r="F9" s="50" t="n"/>
      <c r="G9" s="36">
        <f>IF(OR(E9="",F9=""),"",NETWORKDAYS(E9,F9))</f>
        <v/>
      </c>
      <c r="H9" s="49" t="n"/>
      <c r="I9" s="49" t="n"/>
      <c r="J9" s="49" t="n"/>
      <c r="K9" s="49" t="n"/>
    </row>
    <row r="10">
      <c r="A10" s="49" t="n"/>
      <c r="B10" s="49" t="n"/>
      <c r="C10" s="36">
        <f>IFERROR(INDEX('Employee Database'!$B$3:$B$202,MATCH(B10,'Employee Database'!$A$3:$A$202,0)),"")</f>
        <v/>
      </c>
      <c r="D10" s="49" t="n"/>
      <c r="E10" s="50" t="n"/>
      <c r="F10" s="50" t="n"/>
      <c r="G10" s="36">
        <f>IF(OR(E10="",F10=""),"",NETWORKDAYS(E10,F10))</f>
        <v/>
      </c>
      <c r="H10" s="49" t="n"/>
      <c r="I10" s="49" t="n"/>
      <c r="J10" s="49" t="n"/>
      <c r="K10" s="49" t="n"/>
    </row>
    <row r="11">
      <c r="A11" s="49" t="n"/>
      <c r="B11" s="49" t="n"/>
      <c r="C11" s="36">
        <f>IFERROR(INDEX('Employee Database'!$B$3:$B$202,MATCH(B11,'Employee Database'!$A$3:$A$202,0)),"")</f>
        <v/>
      </c>
      <c r="D11" s="49" t="n"/>
      <c r="E11" s="50" t="n"/>
      <c r="F11" s="50" t="n"/>
      <c r="G11" s="36">
        <f>IF(OR(E11="",F11=""),"",NETWORKDAYS(E11,F11))</f>
        <v/>
      </c>
      <c r="H11" s="49" t="n"/>
      <c r="I11" s="49" t="n"/>
      <c r="J11" s="49" t="n"/>
      <c r="K11" s="49" t="n"/>
    </row>
    <row r="12">
      <c r="A12" s="49" t="n"/>
      <c r="B12" s="49" t="n"/>
      <c r="C12" s="36">
        <f>IFERROR(INDEX('Employee Database'!$B$3:$B$202,MATCH(B12,'Employee Database'!$A$3:$A$202,0)),"")</f>
        <v/>
      </c>
      <c r="D12" s="49" t="n"/>
      <c r="E12" s="50" t="n"/>
      <c r="F12" s="50" t="n"/>
      <c r="G12" s="36">
        <f>IF(OR(E12="",F12=""),"",NETWORKDAYS(E12,F12))</f>
        <v/>
      </c>
      <c r="H12" s="49" t="n"/>
      <c r="I12" s="49" t="n"/>
      <c r="J12" s="49" t="n"/>
      <c r="K12" s="49" t="n"/>
    </row>
    <row r="13">
      <c r="A13" s="49" t="n"/>
      <c r="B13" s="49" t="n"/>
      <c r="C13" s="36">
        <f>IFERROR(INDEX('Employee Database'!$B$3:$B$202,MATCH(B13,'Employee Database'!$A$3:$A$202,0)),"")</f>
        <v/>
      </c>
      <c r="D13" s="49" t="n"/>
      <c r="E13" s="50" t="n"/>
      <c r="F13" s="50" t="n"/>
      <c r="G13" s="36">
        <f>IF(OR(E13="",F13=""),"",NETWORKDAYS(E13,F13))</f>
        <v/>
      </c>
      <c r="H13" s="49" t="n"/>
      <c r="I13" s="49" t="n"/>
      <c r="J13" s="49" t="n"/>
      <c r="K13" s="49" t="n"/>
    </row>
    <row r="14">
      <c r="A14" s="49" t="n"/>
      <c r="B14" s="49" t="n"/>
      <c r="C14" s="36">
        <f>IFERROR(INDEX('Employee Database'!$B$3:$B$202,MATCH(B14,'Employee Database'!$A$3:$A$202,0)),"")</f>
        <v/>
      </c>
      <c r="D14" s="49" t="n"/>
      <c r="E14" s="50" t="n"/>
      <c r="F14" s="50" t="n"/>
      <c r="G14" s="36">
        <f>IF(OR(E14="",F14=""),"",NETWORKDAYS(E14,F14))</f>
        <v/>
      </c>
      <c r="H14" s="49" t="n"/>
      <c r="I14" s="49" t="n"/>
      <c r="J14" s="49" t="n"/>
      <c r="K14" s="49" t="n"/>
    </row>
    <row r="15">
      <c r="A15" s="49" t="n"/>
      <c r="B15" s="49" t="n"/>
      <c r="C15" s="36">
        <f>IFERROR(INDEX('Employee Database'!$B$3:$B$202,MATCH(B15,'Employee Database'!$A$3:$A$202,0)),"")</f>
        <v/>
      </c>
      <c r="D15" s="49" t="n"/>
      <c r="E15" s="50" t="n"/>
      <c r="F15" s="50" t="n"/>
      <c r="G15" s="36">
        <f>IF(OR(E15="",F15=""),"",NETWORKDAYS(E15,F15))</f>
        <v/>
      </c>
      <c r="H15" s="49" t="n"/>
      <c r="I15" s="49" t="n"/>
      <c r="J15" s="49" t="n"/>
      <c r="K15" s="49" t="n"/>
    </row>
    <row r="16">
      <c r="A16" s="49" t="n"/>
      <c r="B16" s="49" t="n"/>
      <c r="C16" s="36">
        <f>IFERROR(INDEX('Employee Database'!$B$3:$B$202,MATCH(B16,'Employee Database'!$A$3:$A$202,0)),"")</f>
        <v/>
      </c>
      <c r="D16" s="49" t="n"/>
      <c r="E16" s="50" t="n"/>
      <c r="F16" s="50" t="n"/>
      <c r="G16" s="36">
        <f>IF(OR(E16="",F16=""),"",NETWORKDAYS(E16,F16))</f>
        <v/>
      </c>
      <c r="H16" s="49" t="n"/>
      <c r="I16" s="49" t="n"/>
      <c r="J16" s="49" t="n"/>
      <c r="K16" s="49" t="n"/>
    </row>
    <row r="17">
      <c r="A17" s="49" t="n"/>
      <c r="B17" s="49" t="n"/>
      <c r="C17" s="36">
        <f>IFERROR(INDEX('Employee Database'!$B$3:$B$202,MATCH(B17,'Employee Database'!$A$3:$A$202,0)),"")</f>
        <v/>
      </c>
      <c r="D17" s="49" t="n"/>
      <c r="E17" s="50" t="n"/>
      <c r="F17" s="50" t="n"/>
      <c r="G17" s="36">
        <f>IF(OR(E17="",F17=""),"",NETWORKDAYS(E17,F17))</f>
        <v/>
      </c>
      <c r="H17" s="49" t="n"/>
      <c r="I17" s="49" t="n"/>
      <c r="J17" s="49" t="n"/>
      <c r="K17" s="49" t="n"/>
    </row>
    <row r="18">
      <c r="A18" s="49" t="n"/>
      <c r="B18" s="49" t="n"/>
      <c r="C18" s="36">
        <f>IFERROR(INDEX('Employee Database'!$B$3:$B$202,MATCH(B18,'Employee Database'!$A$3:$A$202,0)),"")</f>
        <v/>
      </c>
      <c r="D18" s="49" t="n"/>
      <c r="E18" s="50" t="n"/>
      <c r="F18" s="50" t="n"/>
      <c r="G18" s="36">
        <f>IF(OR(E18="",F18=""),"",NETWORKDAYS(E18,F18))</f>
        <v/>
      </c>
      <c r="H18" s="49" t="n"/>
      <c r="I18" s="49" t="n"/>
      <c r="J18" s="49" t="n"/>
      <c r="K18" s="49" t="n"/>
    </row>
    <row r="19">
      <c r="A19" s="49" t="n"/>
      <c r="B19" s="49" t="n"/>
      <c r="C19" s="36">
        <f>IFERROR(INDEX('Employee Database'!$B$3:$B$202,MATCH(B19,'Employee Database'!$A$3:$A$202,0)),"")</f>
        <v/>
      </c>
      <c r="D19" s="49" t="n"/>
      <c r="E19" s="50" t="n"/>
      <c r="F19" s="50" t="n"/>
      <c r="G19" s="36">
        <f>IF(OR(E19="",F19=""),"",NETWORKDAYS(E19,F19))</f>
        <v/>
      </c>
      <c r="H19" s="49" t="n"/>
      <c r="I19" s="49" t="n"/>
      <c r="J19" s="49" t="n"/>
      <c r="K19" s="49" t="n"/>
    </row>
    <row r="20">
      <c r="A20" s="49" t="n"/>
      <c r="B20" s="49" t="n"/>
      <c r="C20" s="36">
        <f>IFERROR(INDEX('Employee Database'!$B$3:$B$202,MATCH(B20,'Employee Database'!$A$3:$A$202,0)),"")</f>
        <v/>
      </c>
      <c r="D20" s="49" t="n"/>
      <c r="E20" s="50" t="n"/>
      <c r="F20" s="50" t="n"/>
      <c r="G20" s="36">
        <f>IF(OR(E20="",F20=""),"",NETWORKDAYS(E20,F20))</f>
        <v/>
      </c>
      <c r="H20" s="49" t="n"/>
      <c r="I20" s="49" t="n"/>
      <c r="J20" s="49" t="n"/>
      <c r="K20" s="49" t="n"/>
    </row>
    <row r="21">
      <c r="A21" s="49" t="n"/>
      <c r="B21" s="49" t="n"/>
      <c r="C21" s="36">
        <f>IFERROR(INDEX('Employee Database'!$B$3:$B$202,MATCH(B21,'Employee Database'!$A$3:$A$202,0)),"")</f>
        <v/>
      </c>
      <c r="D21" s="49" t="n"/>
      <c r="E21" s="50" t="n"/>
      <c r="F21" s="50" t="n"/>
      <c r="G21" s="36">
        <f>IF(OR(E21="",F21=""),"",NETWORKDAYS(E21,F21))</f>
        <v/>
      </c>
      <c r="H21" s="49" t="n"/>
      <c r="I21" s="49" t="n"/>
      <c r="J21" s="49" t="n"/>
      <c r="K21" s="49" t="n"/>
    </row>
    <row r="22">
      <c r="A22" s="49" t="n"/>
      <c r="B22" s="49" t="n"/>
      <c r="C22" s="36">
        <f>IFERROR(INDEX('Employee Database'!$B$3:$B$202,MATCH(B22,'Employee Database'!$A$3:$A$202,0)),"")</f>
        <v/>
      </c>
      <c r="D22" s="49" t="n"/>
      <c r="E22" s="50" t="n"/>
      <c r="F22" s="50" t="n"/>
      <c r="G22" s="36">
        <f>IF(OR(E22="",F22=""),"",NETWORKDAYS(E22,F22))</f>
        <v/>
      </c>
      <c r="H22" s="49" t="n"/>
      <c r="I22" s="49" t="n"/>
      <c r="J22" s="49" t="n"/>
      <c r="K22" s="49" t="n"/>
    </row>
    <row r="23">
      <c r="A23" s="49" t="n"/>
      <c r="B23" s="49" t="n"/>
      <c r="C23" s="36">
        <f>IFERROR(INDEX('Employee Database'!$B$3:$B$202,MATCH(B23,'Employee Database'!$A$3:$A$202,0)),"")</f>
        <v/>
      </c>
      <c r="D23" s="49" t="n"/>
      <c r="E23" s="50" t="n"/>
      <c r="F23" s="50" t="n"/>
      <c r="G23" s="36">
        <f>IF(OR(E23="",F23=""),"",NETWORKDAYS(E23,F23))</f>
        <v/>
      </c>
      <c r="H23" s="49" t="n"/>
      <c r="I23" s="49" t="n"/>
      <c r="J23" s="49" t="n"/>
      <c r="K23" s="49" t="n"/>
    </row>
    <row r="24">
      <c r="A24" s="49" t="n"/>
      <c r="B24" s="49" t="n"/>
      <c r="C24" s="36">
        <f>IFERROR(INDEX('Employee Database'!$B$3:$B$202,MATCH(B24,'Employee Database'!$A$3:$A$202,0)),"")</f>
        <v/>
      </c>
      <c r="D24" s="49" t="n"/>
      <c r="E24" s="50" t="n"/>
      <c r="F24" s="50" t="n"/>
      <c r="G24" s="36">
        <f>IF(OR(E24="",F24=""),"",NETWORKDAYS(E24,F24))</f>
        <v/>
      </c>
      <c r="H24" s="49" t="n"/>
      <c r="I24" s="49" t="n"/>
      <c r="J24" s="49" t="n"/>
      <c r="K24" s="49" t="n"/>
    </row>
    <row r="25">
      <c r="A25" s="49" t="n"/>
      <c r="B25" s="49" t="n"/>
      <c r="C25" s="36">
        <f>IFERROR(INDEX('Employee Database'!$B$3:$B$202,MATCH(B25,'Employee Database'!$A$3:$A$202,0)),"")</f>
        <v/>
      </c>
      <c r="D25" s="49" t="n"/>
      <c r="E25" s="50" t="n"/>
      <c r="F25" s="50" t="n"/>
      <c r="G25" s="36">
        <f>IF(OR(E25="",F25=""),"",NETWORKDAYS(E25,F25))</f>
        <v/>
      </c>
      <c r="H25" s="49" t="n"/>
      <c r="I25" s="49" t="n"/>
      <c r="J25" s="49" t="n"/>
      <c r="K25" s="49" t="n"/>
    </row>
    <row r="26">
      <c r="A26" s="49" t="n"/>
      <c r="B26" s="49" t="n"/>
      <c r="C26" s="36">
        <f>IFERROR(INDEX('Employee Database'!$B$3:$B$202,MATCH(B26,'Employee Database'!$A$3:$A$202,0)),"")</f>
        <v/>
      </c>
      <c r="D26" s="49" t="n"/>
      <c r="E26" s="50" t="n"/>
      <c r="F26" s="50" t="n"/>
      <c r="G26" s="36">
        <f>IF(OR(E26="",F26=""),"",NETWORKDAYS(E26,F26))</f>
        <v/>
      </c>
      <c r="H26" s="49" t="n"/>
      <c r="I26" s="49" t="n"/>
      <c r="J26" s="49" t="n"/>
      <c r="K26" s="49" t="n"/>
    </row>
    <row r="27">
      <c r="A27" s="49" t="n"/>
      <c r="B27" s="49" t="n"/>
      <c r="C27" s="36">
        <f>IFERROR(INDEX('Employee Database'!$B$3:$B$202,MATCH(B27,'Employee Database'!$A$3:$A$202,0)),"")</f>
        <v/>
      </c>
      <c r="D27" s="49" t="n"/>
      <c r="E27" s="50" t="n"/>
      <c r="F27" s="50" t="n"/>
      <c r="G27" s="36">
        <f>IF(OR(E27="",F27=""),"",NETWORKDAYS(E27,F27))</f>
        <v/>
      </c>
      <c r="H27" s="49" t="n"/>
      <c r="I27" s="49" t="n"/>
      <c r="J27" s="49" t="n"/>
      <c r="K27" s="49" t="n"/>
    </row>
    <row r="28">
      <c r="A28" s="49" t="n"/>
      <c r="B28" s="49" t="n"/>
      <c r="C28" s="36">
        <f>IFERROR(INDEX('Employee Database'!$B$3:$B$202,MATCH(B28,'Employee Database'!$A$3:$A$202,0)),"")</f>
        <v/>
      </c>
      <c r="D28" s="49" t="n"/>
      <c r="E28" s="50" t="n"/>
      <c r="F28" s="50" t="n"/>
      <c r="G28" s="36">
        <f>IF(OR(E28="",F28=""),"",NETWORKDAYS(E28,F28))</f>
        <v/>
      </c>
      <c r="H28" s="49" t="n"/>
      <c r="I28" s="49" t="n"/>
      <c r="J28" s="49" t="n"/>
      <c r="K28" s="49" t="n"/>
    </row>
    <row r="29">
      <c r="A29" s="49" t="n"/>
      <c r="B29" s="49" t="n"/>
      <c r="C29" s="36">
        <f>IFERROR(INDEX('Employee Database'!$B$3:$B$202,MATCH(B29,'Employee Database'!$A$3:$A$202,0)),"")</f>
        <v/>
      </c>
      <c r="D29" s="49" t="n"/>
      <c r="E29" s="50" t="n"/>
      <c r="F29" s="50" t="n"/>
      <c r="G29" s="36">
        <f>IF(OR(E29="",F29=""),"",NETWORKDAYS(E29,F29))</f>
        <v/>
      </c>
      <c r="H29" s="49" t="n"/>
      <c r="I29" s="49" t="n"/>
      <c r="J29" s="49" t="n"/>
      <c r="K29" s="49" t="n"/>
    </row>
    <row r="30">
      <c r="A30" s="49" t="n"/>
      <c r="B30" s="49" t="n"/>
      <c r="C30" s="36">
        <f>IFERROR(INDEX('Employee Database'!$B$3:$B$202,MATCH(B30,'Employee Database'!$A$3:$A$202,0)),"")</f>
        <v/>
      </c>
      <c r="D30" s="49" t="n"/>
      <c r="E30" s="50" t="n"/>
      <c r="F30" s="50" t="n"/>
      <c r="G30" s="36">
        <f>IF(OR(E30="",F30=""),"",NETWORKDAYS(E30,F30))</f>
        <v/>
      </c>
      <c r="H30" s="49" t="n"/>
      <c r="I30" s="49" t="n"/>
      <c r="J30" s="49" t="n"/>
      <c r="K30" s="49" t="n"/>
    </row>
    <row r="31">
      <c r="A31" s="49" t="n"/>
      <c r="B31" s="49" t="n"/>
      <c r="C31" s="36">
        <f>IFERROR(INDEX('Employee Database'!$B$3:$B$202,MATCH(B31,'Employee Database'!$A$3:$A$202,0)),"")</f>
        <v/>
      </c>
      <c r="D31" s="49" t="n"/>
      <c r="E31" s="50" t="n"/>
      <c r="F31" s="50" t="n"/>
      <c r="G31" s="36">
        <f>IF(OR(E31="",F31=""),"",NETWORKDAYS(E31,F31))</f>
        <v/>
      </c>
      <c r="H31" s="49" t="n"/>
      <c r="I31" s="49" t="n"/>
      <c r="J31" s="49" t="n"/>
      <c r="K31" s="49" t="n"/>
    </row>
    <row r="32">
      <c r="A32" s="49" t="n"/>
      <c r="B32" s="49" t="n"/>
      <c r="C32" s="36">
        <f>IFERROR(INDEX('Employee Database'!$B$3:$B$202,MATCH(B32,'Employee Database'!$A$3:$A$202,0)),"")</f>
        <v/>
      </c>
      <c r="D32" s="49" t="n"/>
      <c r="E32" s="50" t="n"/>
      <c r="F32" s="50" t="n"/>
      <c r="G32" s="36">
        <f>IF(OR(E32="",F32=""),"",NETWORKDAYS(E32,F32))</f>
        <v/>
      </c>
      <c r="H32" s="49" t="n"/>
      <c r="I32" s="49" t="n"/>
      <c r="J32" s="49" t="n"/>
      <c r="K32" s="49" t="n"/>
    </row>
    <row r="33">
      <c r="A33" s="49" t="n"/>
      <c r="B33" s="49" t="n"/>
      <c r="C33" s="36">
        <f>IFERROR(INDEX('Employee Database'!$B$3:$B$202,MATCH(B33,'Employee Database'!$A$3:$A$202,0)),"")</f>
        <v/>
      </c>
      <c r="D33" s="49" t="n"/>
      <c r="E33" s="50" t="n"/>
      <c r="F33" s="50" t="n"/>
      <c r="G33" s="36">
        <f>IF(OR(E33="",F33=""),"",NETWORKDAYS(E33,F33))</f>
        <v/>
      </c>
      <c r="H33" s="49" t="n"/>
      <c r="I33" s="49" t="n"/>
      <c r="J33" s="49" t="n"/>
      <c r="K33" s="49" t="n"/>
    </row>
    <row r="34">
      <c r="A34" s="49" t="n"/>
      <c r="B34" s="49" t="n"/>
      <c r="C34" s="36">
        <f>IFERROR(INDEX('Employee Database'!$B$3:$B$202,MATCH(B34,'Employee Database'!$A$3:$A$202,0)),"")</f>
        <v/>
      </c>
      <c r="D34" s="49" t="n"/>
      <c r="E34" s="50" t="n"/>
      <c r="F34" s="50" t="n"/>
      <c r="G34" s="36">
        <f>IF(OR(E34="",F34=""),"",NETWORKDAYS(E34,F34))</f>
        <v/>
      </c>
      <c r="H34" s="49" t="n"/>
      <c r="I34" s="49" t="n"/>
      <c r="J34" s="49" t="n"/>
      <c r="K34" s="49" t="n"/>
    </row>
    <row r="35">
      <c r="A35" s="49" t="n"/>
      <c r="B35" s="49" t="n"/>
      <c r="C35" s="36">
        <f>IFERROR(INDEX('Employee Database'!$B$3:$B$202,MATCH(B35,'Employee Database'!$A$3:$A$202,0)),"")</f>
        <v/>
      </c>
      <c r="D35" s="49" t="n"/>
      <c r="E35" s="50" t="n"/>
      <c r="F35" s="50" t="n"/>
      <c r="G35" s="36">
        <f>IF(OR(E35="",F35=""),"",NETWORKDAYS(E35,F35))</f>
        <v/>
      </c>
      <c r="H35" s="49" t="n"/>
      <c r="I35" s="49" t="n"/>
      <c r="J35" s="49" t="n"/>
      <c r="K35" s="49" t="n"/>
    </row>
    <row r="36">
      <c r="A36" s="49" t="n"/>
      <c r="B36" s="49" t="n"/>
      <c r="C36" s="36">
        <f>IFERROR(INDEX('Employee Database'!$B$3:$B$202,MATCH(B36,'Employee Database'!$A$3:$A$202,0)),"")</f>
        <v/>
      </c>
      <c r="D36" s="49" t="n"/>
      <c r="E36" s="50" t="n"/>
      <c r="F36" s="50" t="n"/>
      <c r="G36" s="36">
        <f>IF(OR(E36="",F36=""),"",NETWORKDAYS(E36,F36))</f>
        <v/>
      </c>
      <c r="H36" s="49" t="n"/>
      <c r="I36" s="49" t="n"/>
      <c r="J36" s="49" t="n"/>
      <c r="K36" s="49" t="n"/>
    </row>
    <row r="37">
      <c r="A37" s="49" t="n"/>
      <c r="B37" s="49" t="n"/>
      <c r="C37" s="36">
        <f>IFERROR(INDEX('Employee Database'!$B$3:$B$202,MATCH(B37,'Employee Database'!$A$3:$A$202,0)),"")</f>
        <v/>
      </c>
      <c r="D37" s="49" t="n"/>
      <c r="E37" s="50" t="n"/>
      <c r="F37" s="50" t="n"/>
      <c r="G37" s="36">
        <f>IF(OR(E37="",F37=""),"",NETWORKDAYS(E37,F37))</f>
        <v/>
      </c>
      <c r="H37" s="49" t="n"/>
      <c r="I37" s="49" t="n"/>
      <c r="J37" s="49" t="n"/>
      <c r="K37" s="49" t="n"/>
    </row>
    <row r="38">
      <c r="A38" s="49" t="n"/>
      <c r="B38" s="49" t="n"/>
      <c r="C38" s="36">
        <f>IFERROR(INDEX('Employee Database'!$B$3:$B$202,MATCH(B38,'Employee Database'!$A$3:$A$202,0)),"")</f>
        <v/>
      </c>
      <c r="D38" s="49" t="n"/>
      <c r="E38" s="50" t="n"/>
      <c r="F38" s="50" t="n"/>
      <c r="G38" s="36">
        <f>IF(OR(E38="",F38=""),"",NETWORKDAYS(E38,F38))</f>
        <v/>
      </c>
      <c r="H38" s="49" t="n"/>
      <c r="I38" s="49" t="n"/>
      <c r="J38" s="49" t="n"/>
      <c r="K38" s="49" t="n"/>
    </row>
    <row r="39">
      <c r="A39" s="49" t="n"/>
      <c r="B39" s="49" t="n"/>
      <c r="C39" s="36">
        <f>IFERROR(INDEX('Employee Database'!$B$3:$B$202,MATCH(B39,'Employee Database'!$A$3:$A$202,0)),"")</f>
        <v/>
      </c>
      <c r="D39" s="49" t="n"/>
      <c r="E39" s="50" t="n"/>
      <c r="F39" s="50" t="n"/>
      <c r="G39" s="36">
        <f>IF(OR(E39="",F39=""),"",NETWORKDAYS(E39,F39))</f>
        <v/>
      </c>
      <c r="H39" s="49" t="n"/>
      <c r="I39" s="49" t="n"/>
      <c r="J39" s="49" t="n"/>
      <c r="K39" s="49" t="n"/>
    </row>
    <row r="40">
      <c r="A40" s="49" t="n"/>
      <c r="B40" s="49" t="n"/>
      <c r="C40" s="36">
        <f>IFERROR(INDEX('Employee Database'!$B$3:$B$202,MATCH(B40,'Employee Database'!$A$3:$A$202,0)),"")</f>
        <v/>
      </c>
      <c r="D40" s="49" t="n"/>
      <c r="E40" s="50" t="n"/>
      <c r="F40" s="50" t="n"/>
      <c r="G40" s="36">
        <f>IF(OR(E40="",F40=""),"",NETWORKDAYS(E40,F40))</f>
        <v/>
      </c>
      <c r="H40" s="49" t="n"/>
      <c r="I40" s="49" t="n"/>
      <c r="J40" s="49" t="n"/>
      <c r="K40" s="49" t="n"/>
    </row>
    <row r="41">
      <c r="A41" s="49" t="n"/>
      <c r="B41" s="49" t="n"/>
      <c r="C41" s="36">
        <f>IFERROR(INDEX('Employee Database'!$B$3:$B$202,MATCH(B41,'Employee Database'!$A$3:$A$202,0)),"")</f>
        <v/>
      </c>
      <c r="D41" s="49" t="n"/>
      <c r="E41" s="50" t="n"/>
      <c r="F41" s="50" t="n"/>
      <c r="G41" s="36">
        <f>IF(OR(E41="",F41=""),"",NETWORKDAYS(E41,F41))</f>
        <v/>
      </c>
      <c r="H41" s="49" t="n"/>
      <c r="I41" s="49" t="n"/>
      <c r="J41" s="49" t="n"/>
      <c r="K41" s="49" t="n"/>
    </row>
    <row r="42">
      <c r="A42" s="49" t="n"/>
      <c r="B42" s="49" t="n"/>
      <c r="C42" s="36">
        <f>IFERROR(INDEX('Employee Database'!$B$3:$B$202,MATCH(B42,'Employee Database'!$A$3:$A$202,0)),"")</f>
        <v/>
      </c>
      <c r="D42" s="49" t="n"/>
      <c r="E42" s="50" t="n"/>
      <c r="F42" s="50" t="n"/>
      <c r="G42" s="36">
        <f>IF(OR(E42="",F42=""),"",NETWORKDAYS(E42,F42))</f>
        <v/>
      </c>
      <c r="H42" s="49" t="n"/>
      <c r="I42" s="49" t="n"/>
      <c r="J42" s="49" t="n"/>
      <c r="K42" s="49" t="n"/>
    </row>
    <row r="43">
      <c r="A43" s="49" t="n"/>
      <c r="B43" s="49" t="n"/>
      <c r="C43" s="36">
        <f>IFERROR(INDEX('Employee Database'!$B$3:$B$202,MATCH(B43,'Employee Database'!$A$3:$A$202,0)),"")</f>
        <v/>
      </c>
      <c r="D43" s="49" t="n"/>
      <c r="E43" s="50" t="n"/>
      <c r="F43" s="50" t="n"/>
      <c r="G43" s="36">
        <f>IF(OR(E43="",F43=""),"",NETWORKDAYS(E43,F43))</f>
        <v/>
      </c>
      <c r="H43" s="49" t="n"/>
      <c r="I43" s="49" t="n"/>
      <c r="J43" s="49" t="n"/>
      <c r="K43" s="49" t="n"/>
    </row>
    <row r="44">
      <c r="A44" s="49" t="n"/>
      <c r="B44" s="49" t="n"/>
      <c r="C44" s="36">
        <f>IFERROR(INDEX('Employee Database'!$B$3:$B$202,MATCH(B44,'Employee Database'!$A$3:$A$202,0)),"")</f>
        <v/>
      </c>
      <c r="D44" s="49" t="n"/>
      <c r="E44" s="50" t="n"/>
      <c r="F44" s="50" t="n"/>
      <c r="G44" s="36">
        <f>IF(OR(E44="",F44=""),"",NETWORKDAYS(E44,F44))</f>
        <v/>
      </c>
      <c r="H44" s="49" t="n"/>
      <c r="I44" s="49" t="n"/>
      <c r="J44" s="49" t="n"/>
      <c r="K44" s="49" t="n"/>
    </row>
    <row r="45">
      <c r="A45" s="49" t="n"/>
      <c r="B45" s="49" t="n"/>
      <c r="C45" s="36">
        <f>IFERROR(INDEX('Employee Database'!$B$3:$B$202,MATCH(B45,'Employee Database'!$A$3:$A$202,0)),"")</f>
        <v/>
      </c>
      <c r="D45" s="49" t="n"/>
      <c r="E45" s="50" t="n"/>
      <c r="F45" s="50" t="n"/>
      <c r="G45" s="36">
        <f>IF(OR(E45="",F45=""),"",NETWORKDAYS(E45,F45))</f>
        <v/>
      </c>
      <c r="H45" s="49" t="n"/>
      <c r="I45" s="49" t="n"/>
      <c r="J45" s="49" t="n"/>
      <c r="K45" s="49" t="n"/>
    </row>
    <row r="46">
      <c r="A46" s="49" t="n"/>
      <c r="B46" s="49" t="n"/>
      <c r="C46" s="36">
        <f>IFERROR(INDEX('Employee Database'!$B$3:$B$202,MATCH(B46,'Employee Database'!$A$3:$A$202,0)),"")</f>
        <v/>
      </c>
      <c r="D46" s="49" t="n"/>
      <c r="E46" s="50" t="n"/>
      <c r="F46" s="50" t="n"/>
      <c r="G46" s="36">
        <f>IF(OR(E46="",F46=""),"",NETWORKDAYS(E46,F46))</f>
        <v/>
      </c>
      <c r="H46" s="49" t="n"/>
      <c r="I46" s="49" t="n"/>
      <c r="J46" s="49" t="n"/>
      <c r="K46" s="49" t="n"/>
    </row>
    <row r="47">
      <c r="A47" s="49" t="n"/>
      <c r="B47" s="49" t="n"/>
      <c r="C47" s="36">
        <f>IFERROR(INDEX('Employee Database'!$B$3:$B$202,MATCH(B47,'Employee Database'!$A$3:$A$202,0)),"")</f>
        <v/>
      </c>
      <c r="D47" s="49" t="n"/>
      <c r="E47" s="50" t="n"/>
      <c r="F47" s="50" t="n"/>
      <c r="G47" s="36">
        <f>IF(OR(E47="",F47=""),"",NETWORKDAYS(E47,F47))</f>
        <v/>
      </c>
      <c r="H47" s="49" t="n"/>
      <c r="I47" s="49" t="n"/>
      <c r="J47" s="49" t="n"/>
      <c r="K47" s="49" t="n"/>
    </row>
    <row r="48">
      <c r="A48" s="49" t="n"/>
      <c r="B48" s="49" t="n"/>
      <c r="C48" s="36">
        <f>IFERROR(INDEX('Employee Database'!$B$3:$B$202,MATCH(B48,'Employee Database'!$A$3:$A$202,0)),"")</f>
        <v/>
      </c>
      <c r="D48" s="49" t="n"/>
      <c r="E48" s="50" t="n"/>
      <c r="F48" s="50" t="n"/>
      <c r="G48" s="36">
        <f>IF(OR(E48="",F48=""),"",NETWORKDAYS(E48,F48))</f>
        <v/>
      </c>
      <c r="H48" s="49" t="n"/>
      <c r="I48" s="49" t="n"/>
      <c r="J48" s="49" t="n"/>
      <c r="K48" s="49" t="n"/>
    </row>
    <row r="49">
      <c r="A49" s="49" t="n"/>
      <c r="B49" s="49" t="n"/>
      <c r="C49" s="36">
        <f>IFERROR(INDEX('Employee Database'!$B$3:$B$202,MATCH(B49,'Employee Database'!$A$3:$A$202,0)),"")</f>
        <v/>
      </c>
      <c r="D49" s="49" t="n"/>
      <c r="E49" s="50" t="n"/>
      <c r="F49" s="50" t="n"/>
      <c r="G49" s="36">
        <f>IF(OR(E49="",F49=""),"",NETWORKDAYS(E49,F49))</f>
        <v/>
      </c>
      <c r="H49" s="49" t="n"/>
      <c r="I49" s="49" t="n"/>
      <c r="J49" s="49" t="n"/>
      <c r="K49" s="49" t="n"/>
    </row>
    <row r="50">
      <c r="A50" s="49" t="n"/>
      <c r="B50" s="49" t="n"/>
      <c r="C50" s="36">
        <f>IFERROR(INDEX('Employee Database'!$B$3:$B$202,MATCH(B50,'Employee Database'!$A$3:$A$202,0)),"")</f>
        <v/>
      </c>
      <c r="D50" s="49" t="n"/>
      <c r="E50" s="50" t="n"/>
      <c r="F50" s="50" t="n"/>
      <c r="G50" s="36">
        <f>IF(OR(E50="",F50=""),"",NETWORKDAYS(E50,F50))</f>
        <v/>
      </c>
      <c r="H50" s="49" t="n"/>
      <c r="I50" s="49" t="n"/>
      <c r="J50" s="49" t="n"/>
      <c r="K50" s="49" t="n"/>
    </row>
    <row r="51">
      <c r="A51" s="49" t="n"/>
      <c r="B51" s="49" t="n"/>
      <c r="C51" s="36">
        <f>IFERROR(INDEX('Employee Database'!$B$3:$B$202,MATCH(B51,'Employee Database'!$A$3:$A$202,0)),"")</f>
        <v/>
      </c>
      <c r="D51" s="49" t="n"/>
      <c r="E51" s="50" t="n"/>
      <c r="F51" s="50" t="n"/>
      <c r="G51" s="36">
        <f>IF(OR(E51="",F51=""),"",NETWORKDAYS(E51,F51))</f>
        <v/>
      </c>
      <c r="H51" s="49" t="n"/>
      <c r="I51" s="49" t="n"/>
      <c r="J51" s="49" t="n"/>
      <c r="K51" s="49" t="n"/>
    </row>
    <row r="52">
      <c r="A52" s="49" t="n"/>
      <c r="B52" s="49" t="n"/>
      <c r="C52" s="36">
        <f>IFERROR(INDEX('Employee Database'!$B$3:$B$202,MATCH(B52,'Employee Database'!$A$3:$A$202,0)),"")</f>
        <v/>
      </c>
      <c r="D52" s="49" t="n"/>
      <c r="E52" s="50" t="n"/>
      <c r="F52" s="50" t="n"/>
      <c r="G52" s="36">
        <f>IF(OR(E52="",F52=""),"",NETWORKDAYS(E52,F52))</f>
        <v/>
      </c>
      <c r="H52" s="49" t="n"/>
      <c r="I52" s="49" t="n"/>
      <c r="J52" s="49" t="n"/>
      <c r="K52" s="49" t="n"/>
    </row>
    <row r="53">
      <c r="A53" s="49" t="n"/>
      <c r="B53" s="49" t="n"/>
      <c r="C53" s="36">
        <f>IFERROR(INDEX('Employee Database'!$B$3:$B$202,MATCH(B53,'Employee Database'!$A$3:$A$202,0)),"")</f>
        <v/>
      </c>
      <c r="D53" s="49" t="n"/>
      <c r="E53" s="50" t="n"/>
      <c r="F53" s="50" t="n"/>
      <c r="G53" s="36">
        <f>IF(OR(E53="",F53=""),"",NETWORKDAYS(E53,F53))</f>
        <v/>
      </c>
      <c r="H53" s="49" t="n"/>
      <c r="I53" s="49" t="n"/>
      <c r="J53" s="49" t="n"/>
      <c r="K53" s="49" t="n"/>
    </row>
    <row r="54">
      <c r="A54" s="49" t="n"/>
      <c r="B54" s="49" t="n"/>
      <c r="C54" s="36">
        <f>IFERROR(INDEX('Employee Database'!$B$3:$B$202,MATCH(B54,'Employee Database'!$A$3:$A$202,0)),"")</f>
        <v/>
      </c>
      <c r="D54" s="49" t="n"/>
      <c r="E54" s="50" t="n"/>
      <c r="F54" s="50" t="n"/>
      <c r="G54" s="36">
        <f>IF(OR(E54="",F54=""),"",NETWORKDAYS(E54,F54))</f>
        <v/>
      </c>
      <c r="H54" s="49" t="n"/>
      <c r="I54" s="49" t="n"/>
      <c r="J54" s="49" t="n"/>
      <c r="K54" s="49" t="n"/>
    </row>
    <row r="55">
      <c r="A55" s="49" t="n"/>
      <c r="B55" s="49" t="n"/>
      <c r="C55" s="36">
        <f>IFERROR(INDEX('Employee Database'!$B$3:$B$202,MATCH(B55,'Employee Database'!$A$3:$A$202,0)),"")</f>
        <v/>
      </c>
      <c r="D55" s="49" t="n"/>
      <c r="E55" s="50" t="n"/>
      <c r="F55" s="50" t="n"/>
      <c r="G55" s="36">
        <f>IF(OR(E55="",F55=""),"",NETWORKDAYS(E55,F55))</f>
        <v/>
      </c>
      <c r="H55" s="49" t="n"/>
      <c r="I55" s="49" t="n"/>
      <c r="J55" s="49" t="n"/>
      <c r="K55" s="49" t="n"/>
    </row>
    <row r="56">
      <c r="A56" s="49" t="n"/>
      <c r="B56" s="49" t="n"/>
      <c r="C56" s="36">
        <f>IFERROR(INDEX('Employee Database'!$B$3:$B$202,MATCH(B56,'Employee Database'!$A$3:$A$202,0)),"")</f>
        <v/>
      </c>
      <c r="D56" s="49" t="n"/>
      <c r="E56" s="50" t="n"/>
      <c r="F56" s="50" t="n"/>
      <c r="G56" s="36">
        <f>IF(OR(E56="",F56=""),"",NETWORKDAYS(E56,F56))</f>
        <v/>
      </c>
      <c r="H56" s="49" t="n"/>
      <c r="I56" s="49" t="n"/>
      <c r="J56" s="49" t="n"/>
      <c r="K56" s="49" t="n"/>
    </row>
    <row r="57">
      <c r="A57" s="49" t="n"/>
      <c r="B57" s="49" t="n"/>
      <c r="C57" s="36">
        <f>IFERROR(INDEX('Employee Database'!$B$3:$B$202,MATCH(B57,'Employee Database'!$A$3:$A$202,0)),"")</f>
        <v/>
      </c>
      <c r="D57" s="49" t="n"/>
      <c r="E57" s="50" t="n"/>
      <c r="F57" s="50" t="n"/>
      <c r="G57" s="36">
        <f>IF(OR(E57="",F57=""),"",NETWORKDAYS(E57,F57))</f>
        <v/>
      </c>
      <c r="H57" s="49" t="n"/>
      <c r="I57" s="49" t="n"/>
      <c r="J57" s="49" t="n"/>
      <c r="K57" s="49" t="n"/>
    </row>
    <row r="58">
      <c r="A58" s="49" t="n"/>
      <c r="B58" s="49" t="n"/>
      <c r="C58" s="36">
        <f>IFERROR(INDEX('Employee Database'!$B$3:$B$202,MATCH(B58,'Employee Database'!$A$3:$A$202,0)),"")</f>
        <v/>
      </c>
      <c r="D58" s="49" t="n"/>
      <c r="E58" s="50" t="n"/>
      <c r="F58" s="50" t="n"/>
      <c r="G58" s="36">
        <f>IF(OR(E58="",F58=""),"",NETWORKDAYS(E58,F58))</f>
        <v/>
      </c>
      <c r="H58" s="49" t="n"/>
      <c r="I58" s="49" t="n"/>
      <c r="J58" s="49" t="n"/>
      <c r="K58" s="49" t="n"/>
    </row>
    <row r="59">
      <c r="A59" s="49" t="n"/>
      <c r="B59" s="49" t="n"/>
      <c r="C59" s="36">
        <f>IFERROR(INDEX('Employee Database'!$B$3:$B$202,MATCH(B59,'Employee Database'!$A$3:$A$202,0)),"")</f>
        <v/>
      </c>
      <c r="D59" s="49" t="n"/>
      <c r="E59" s="50" t="n"/>
      <c r="F59" s="50" t="n"/>
      <c r="G59" s="36">
        <f>IF(OR(E59="",F59=""),"",NETWORKDAYS(E59,F59))</f>
        <v/>
      </c>
      <c r="H59" s="49" t="n"/>
      <c r="I59" s="49" t="n"/>
      <c r="J59" s="49" t="n"/>
      <c r="K59" s="49" t="n"/>
    </row>
    <row r="60">
      <c r="A60" s="49" t="n"/>
      <c r="B60" s="49" t="n"/>
      <c r="C60" s="36">
        <f>IFERROR(INDEX('Employee Database'!$B$3:$B$202,MATCH(B60,'Employee Database'!$A$3:$A$202,0)),"")</f>
        <v/>
      </c>
      <c r="D60" s="49" t="n"/>
      <c r="E60" s="50" t="n"/>
      <c r="F60" s="50" t="n"/>
      <c r="G60" s="36">
        <f>IF(OR(E60="",F60=""),"",NETWORKDAYS(E60,F60))</f>
        <v/>
      </c>
      <c r="H60" s="49" t="n"/>
      <c r="I60" s="49" t="n"/>
      <c r="J60" s="49" t="n"/>
      <c r="K60" s="49" t="n"/>
    </row>
    <row r="61">
      <c r="A61" s="49" t="n"/>
      <c r="B61" s="49" t="n"/>
      <c r="C61" s="36">
        <f>IFERROR(INDEX('Employee Database'!$B$3:$B$202,MATCH(B61,'Employee Database'!$A$3:$A$202,0)),"")</f>
        <v/>
      </c>
      <c r="D61" s="49" t="n"/>
      <c r="E61" s="50" t="n"/>
      <c r="F61" s="50" t="n"/>
      <c r="G61" s="36">
        <f>IF(OR(E61="",F61=""),"",NETWORKDAYS(E61,F61))</f>
        <v/>
      </c>
      <c r="H61" s="49" t="n"/>
      <c r="I61" s="49" t="n"/>
      <c r="J61" s="49" t="n"/>
      <c r="K61" s="49" t="n"/>
    </row>
    <row r="62">
      <c r="A62" s="49" t="n"/>
      <c r="B62" s="49" t="n"/>
      <c r="C62" s="36">
        <f>IFERROR(INDEX('Employee Database'!$B$3:$B$202,MATCH(B62,'Employee Database'!$A$3:$A$202,0)),"")</f>
        <v/>
      </c>
      <c r="D62" s="49" t="n"/>
      <c r="E62" s="50" t="n"/>
      <c r="F62" s="50" t="n"/>
      <c r="G62" s="36">
        <f>IF(OR(E62="",F62=""),"",NETWORKDAYS(E62,F62))</f>
        <v/>
      </c>
      <c r="H62" s="49" t="n"/>
      <c r="I62" s="49" t="n"/>
      <c r="J62" s="49" t="n"/>
      <c r="K62" s="49" t="n"/>
    </row>
    <row r="63">
      <c r="A63" s="49" t="n"/>
      <c r="B63" s="49" t="n"/>
      <c r="C63" s="36">
        <f>IFERROR(INDEX('Employee Database'!$B$3:$B$202,MATCH(B63,'Employee Database'!$A$3:$A$202,0)),"")</f>
        <v/>
      </c>
      <c r="D63" s="49" t="n"/>
      <c r="E63" s="50" t="n"/>
      <c r="F63" s="50" t="n"/>
      <c r="G63" s="36">
        <f>IF(OR(E63="",F63=""),"",NETWORKDAYS(E63,F63))</f>
        <v/>
      </c>
      <c r="H63" s="49" t="n"/>
      <c r="I63" s="49" t="n"/>
      <c r="J63" s="49" t="n"/>
      <c r="K63" s="49" t="n"/>
    </row>
    <row r="64">
      <c r="A64" s="49" t="n"/>
      <c r="B64" s="49" t="n"/>
      <c r="C64" s="36">
        <f>IFERROR(INDEX('Employee Database'!$B$3:$B$202,MATCH(B64,'Employee Database'!$A$3:$A$202,0)),"")</f>
        <v/>
      </c>
      <c r="D64" s="49" t="n"/>
      <c r="E64" s="50" t="n"/>
      <c r="F64" s="50" t="n"/>
      <c r="G64" s="36">
        <f>IF(OR(E64="",F64=""),"",NETWORKDAYS(E64,F64))</f>
        <v/>
      </c>
      <c r="H64" s="49" t="n"/>
      <c r="I64" s="49" t="n"/>
      <c r="J64" s="49" t="n"/>
      <c r="K64" s="49" t="n"/>
    </row>
    <row r="65">
      <c r="A65" s="49" t="n"/>
      <c r="B65" s="49" t="n"/>
      <c r="C65" s="36">
        <f>IFERROR(INDEX('Employee Database'!$B$3:$B$202,MATCH(B65,'Employee Database'!$A$3:$A$202,0)),"")</f>
        <v/>
      </c>
      <c r="D65" s="49" t="n"/>
      <c r="E65" s="50" t="n"/>
      <c r="F65" s="50" t="n"/>
      <c r="G65" s="36">
        <f>IF(OR(E65="",F65=""),"",NETWORKDAYS(E65,F65))</f>
        <v/>
      </c>
      <c r="H65" s="49" t="n"/>
      <c r="I65" s="49" t="n"/>
      <c r="J65" s="49" t="n"/>
      <c r="K65" s="49" t="n"/>
    </row>
    <row r="66">
      <c r="A66" s="49" t="n"/>
      <c r="B66" s="49" t="n"/>
      <c r="C66" s="36">
        <f>IFERROR(INDEX('Employee Database'!$B$3:$B$202,MATCH(B66,'Employee Database'!$A$3:$A$202,0)),"")</f>
        <v/>
      </c>
      <c r="D66" s="49" t="n"/>
      <c r="E66" s="50" t="n"/>
      <c r="F66" s="50" t="n"/>
      <c r="G66" s="36">
        <f>IF(OR(E66="",F66=""),"",NETWORKDAYS(E66,F66))</f>
        <v/>
      </c>
      <c r="H66" s="49" t="n"/>
      <c r="I66" s="49" t="n"/>
      <c r="J66" s="49" t="n"/>
      <c r="K66" s="49" t="n"/>
    </row>
    <row r="67">
      <c r="A67" s="49" t="n"/>
      <c r="B67" s="49" t="n"/>
      <c r="C67" s="36">
        <f>IFERROR(INDEX('Employee Database'!$B$3:$B$202,MATCH(B67,'Employee Database'!$A$3:$A$202,0)),"")</f>
        <v/>
      </c>
      <c r="D67" s="49" t="n"/>
      <c r="E67" s="50" t="n"/>
      <c r="F67" s="50" t="n"/>
      <c r="G67" s="36">
        <f>IF(OR(E67="",F67=""),"",NETWORKDAYS(E67,F67))</f>
        <v/>
      </c>
      <c r="H67" s="49" t="n"/>
      <c r="I67" s="49" t="n"/>
      <c r="J67" s="49" t="n"/>
      <c r="K67" s="49" t="n"/>
    </row>
    <row r="68">
      <c r="A68" s="49" t="n"/>
      <c r="B68" s="49" t="n"/>
      <c r="C68" s="36">
        <f>IFERROR(INDEX('Employee Database'!$B$3:$B$202,MATCH(B68,'Employee Database'!$A$3:$A$202,0)),"")</f>
        <v/>
      </c>
      <c r="D68" s="49" t="n"/>
      <c r="E68" s="50" t="n"/>
      <c r="F68" s="50" t="n"/>
      <c r="G68" s="36">
        <f>IF(OR(E68="",F68=""),"",NETWORKDAYS(E68,F68))</f>
        <v/>
      </c>
      <c r="H68" s="49" t="n"/>
      <c r="I68" s="49" t="n"/>
      <c r="J68" s="49" t="n"/>
      <c r="K68" s="49" t="n"/>
    </row>
    <row r="69">
      <c r="A69" s="49" t="n"/>
      <c r="B69" s="49" t="n"/>
      <c r="C69" s="36">
        <f>IFERROR(INDEX('Employee Database'!$B$3:$B$202,MATCH(B69,'Employee Database'!$A$3:$A$202,0)),"")</f>
        <v/>
      </c>
      <c r="D69" s="49" t="n"/>
      <c r="E69" s="50" t="n"/>
      <c r="F69" s="50" t="n"/>
      <c r="G69" s="36">
        <f>IF(OR(E69="",F69=""),"",NETWORKDAYS(E69,F69))</f>
        <v/>
      </c>
      <c r="H69" s="49" t="n"/>
      <c r="I69" s="49" t="n"/>
      <c r="J69" s="49" t="n"/>
      <c r="K69" s="49" t="n"/>
    </row>
    <row r="70">
      <c r="A70" s="49" t="n"/>
      <c r="B70" s="49" t="n"/>
      <c r="C70" s="36">
        <f>IFERROR(INDEX('Employee Database'!$B$3:$B$202,MATCH(B70,'Employee Database'!$A$3:$A$202,0)),"")</f>
        <v/>
      </c>
      <c r="D70" s="49" t="n"/>
      <c r="E70" s="50" t="n"/>
      <c r="F70" s="50" t="n"/>
      <c r="G70" s="36">
        <f>IF(OR(E70="",F70=""),"",NETWORKDAYS(E70,F70))</f>
        <v/>
      </c>
      <c r="H70" s="49" t="n"/>
      <c r="I70" s="49" t="n"/>
      <c r="J70" s="49" t="n"/>
      <c r="K70" s="49" t="n"/>
    </row>
    <row r="71">
      <c r="A71" s="49" t="n"/>
      <c r="B71" s="49" t="n"/>
      <c r="C71" s="36">
        <f>IFERROR(INDEX('Employee Database'!$B$3:$B$202,MATCH(B71,'Employee Database'!$A$3:$A$202,0)),"")</f>
        <v/>
      </c>
      <c r="D71" s="49" t="n"/>
      <c r="E71" s="50" t="n"/>
      <c r="F71" s="50" t="n"/>
      <c r="G71" s="36">
        <f>IF(OR(E71="",F71=""),"",NETWORKDAYS(E71,F71))</f>
        <v/>
      </c>
      <c r="H71" s="49" t="n"/>
      <c r="I71" s="49" t="n"/>
      <c r="J71" s="49" t="n"/>
      <c r="K71" s="49" t="n"/>
    </row>
    <row r="72">
      <c r="A72" s="49" t="n"/>
      <c r="B72" s="49" t="n"/>
      <c r="C72" s="36">
        <f>IFERROR(INDEX('Employee Database'!$B$3:$B$202,MATCH(B72,'Employee Database'!$A$3:$A$202,0)),"")</f>
        <v/>
      </c>
      <c r="D72" s="49" t="n"/>
      <c r="E72" s="50" t="n"/>
      <c r="F72" s="50" t="n"/>
      <c r="G72" s="36">
        <f>IF(OR(E72="",F72=""),"",NETWORKDAYS(E72,F72))</f>
        <v/>
      </c>
      <c r="H72" s="49" t="n"/>
      <c r="I72" s="49" t="n"/>
      <c r="J72" s="49" t="n"/>
      <c r="K72" s="49" t="n"/>
    </row>
    <row r="73">
      <c r="A73" s="49" t="n"/>
      <c r="B73" s="49" t="n"/>
      <c r="C73" s="36">
        <f>IFERROR(INDEX('Employee Database'!$B$3:$B$202,MATCH(B73,'Employee Database'!$A$3:$A$202,0)),"")</f>
        <v/>
      </c>
      <c r="D73" s="49" t="n"/>
      <c r="E73" s="50" t="n"/>
      <c r="F73" s="50" t="n"/>
      <c r="G73" s="36">
        <f>IF(OR(E73="",F73=""),"",NETWORKDAYS(E73,F73))</f>
        <v/>
      </c>
      <c r="H73" s="49" t="n"/>
      <c r="I73" s="49" t="n"/>
      <c r="J73" s="49" t="n"/>
      <c r="K73" s="49" t="n"/>
    </row>
    <row r="74">
      <c r="A74" s="49" t="n"/>
      <c r="B74" s="49" t="n"/>
      <c r="C74" s="36">
        <f>IFERROR(INDEX('Employee Database'!$B$3:$B$202,MATCH(B74,'Employee Database'!$A$3:$A$202,0)),"")</f>
        <v/>
      </c>
      <c r="D74" s="49" t="n"/>
      <c r="E74" s="50" t="n"/>
      <c r="F74" s="50" t="n"/>
      <c r="G74" s="36">
        <f>IF(OR(E74="",F74=""),"",NETWORKDAYS(E74,F74))</f>
        <v/>
      </c>
      <c r="H74" s="49" t="n"/>
      <c r="I74" s="49" t="n"/>
      <c r="J74" s="49" t="n"/>
      <c r="K74" s="49" t="n"/>
    </row>
    <row r="75">
      <c r="A75" s="49" t="n"/>
      <c r="B75" s="49" t="n"/>
      <c r="C75" s="36">
        <f>IFERROR(INDEX('Employee Database'!$B$3:$B$202,MATCH(B75,'Employee Database'!$A$3:$A$202,0)),"")</f>
        <v/>
      </c>
      <c r="D75" s="49" t="n"/>
      <c r="E75" s="50" t="n"/>
      <c r="F75" s="50" t="n"/>
      <c r="G75" s="36">
        <f>IF(OR(E75="",F75=""),"",NETWORKDAYS(E75,F75))</f>
        <v/>
      </c>
      <c r="H75" s="49" t="n"/>
      <c r="I75" s="49" t="n"/>
      <c r="J75" s="49" t="n"/>
      <c r="K75" s="49" t="n"/>
    </row>
    <row r="76">
      <c r="A76" s="49" t="n"/>
      <c r="B76" s="49" t="n"/>
      <c r="C76" s="36">
        <f>IFERROR(INDEX('Employee Database'!$B$3:$B$202,MATCH(B76,'Employee Database'!$A$3:$A$202,0)),"")</f>
        <v/>
      </c>
      <c r="D76" s="49" t="n"/>
      <c r="E76" s="50" t="n"/>
      <c r="F76" s="50" t="n"/>
      <c r="G76" s="36">
        <f>IF(OR(E76="",F76=""),"",NETWORKDAYS(E76,F76))</f>
        <v/>
      </c>
      <c r="H76" s="49" t="n"/>
      <c r="I76" s="49" t="n"/>
      <c r="J76" s="49" t="n"/>
      <c r="K76" s="49" t="n"/>
    </row>
    <row r="77">
      <c r="A77" s="49" t="n"/>
      <c r="B77" s="49" t="n"/>
      <c r="C77" s="36">
        <f>IFERROR(INDEX('Employee Database'!$B$3:$B$202,MATCH(B77,'Employee Database'!$A$3:$A$202,0)),"")</f>
        <v/>
      </c>
      <c r="D77" s="49" t="n"/>
      <c r="E77" s="50" t="n"/>
      <c r="F77" s="50" t="n"/>
      <c r="G77" s="36">
        <f>IF(OR(E77="",F77=""),"",NETWORKDAYS(E77,F77))</f>
        <v/>
      </c>
      <c r="H77" s="49" t="n"/>
      <c r="I77" s="49" t="n"/>
      <c r="J77" s="49" t="n"/>
      <c r="K77" s="49" t="n"/>
    </row>
    <row r="78">
      <c r="A78" s="49" t="n"/>
      <c r="B78" s="49" t="n"/>
      <c r="C78" s="36">
        <f>IFERROR(INDEX('Employee Database'!$B$3:$B$202,MATCH(B78,'Employee Database'!$A$3:$A$202,0)),"")</f>
        <v/>
      </c>
      <c r="D78" s="49" t="n"/>
      <c r="E78" s="50" t="n"/>
      <c r="F78" s="50" t="n"/>
      <c r="G78" s="36">
        <f>IF(OR(E78="",F78=""),"",NETWORKDAYS(E78,F78))</f>
        <v/>
      </c>
      <c r="H78" s="49" t="n"/>
      <c r="I78" s="49" t="n"/>
      <c r="J78" s="49" t="n"/>
      <c r="K78" s="49" t="n"/>
    </row>
    <row r="79">
      <c r="A79" s="49" t="n"/>
      <c r="B79" s="49" t="n"/>
      <c r="C79" s="36">
        <f>IFERROR(INDEX('Employee Database'!$B$3:$B$202,MATCH(B79,'Employee Database'!$A$3:$A$202,0)),"")</f>
        <v/>
      </c>
      <c r="D79" s="49" t="n"/>
      <c r="E79" s="50" t="n"/>
      <c r="F79" s="50" t="n"/>
      <c r="G79" s="36">
        <f>IF(OR(E79="",F79=""),"",NETWORKDAYS(E79,F79))</f>
        <v/>
      </c>
      <c r="H79" s="49" t="n"/>
      <c r="I79" s="49" t="n"/>
      <c r="J79" s="49" t="n"/>
      <c r="K79" s="49" t="n"/>
    </row>
    <row r="80">
      <c r="A80" s="49" t="n"/>
      <c r="B80" s="49" t="n"/>
      <c r="C80" s="36">
        <f>IFERROR(INDEX('Employee Database'!$B$3:$B$202,MATCH(B80,'Employee Database'!$A$3:$A$202,0)),"")</f>
        <v/>
      </c>
      <c r="D80" s="49" t="n"/>
      <c r="E80" s="50" t="n"/>
      <c r="F80" s="50" t="n"/>
      <c r="G80" s="36">
        <f>IF(OR(E80="",F80=""),"",NETWORKDAYS(E80,F80))</f>
        <v/>
      </c>
      <c r="H80" s="49" t="n"/>
      <c r="I80" s="49" t="n"/>
      <c r="J80" s="49" t="n"/>
      <c r="K80" s="49" t="n"/>
    </row>
    <row r="81">
      <c r="A81" s="49" t="n"/>
      <c r="B81" s="49" t="n"/>
      <c r="C81" s="36">
        <f>IFERROR(INDEX('Employee Database'!$B$3:$B$202,MATCH(B81,'Employee Database'!$A$3:$A$202,0)),"")</f>
        <v/>
      </c>
      <c r="D81" s="49" t="n"/>
      <c r="E81" s="50" t="n"/>
      <c r="F81" s="50" t="n"/>
      <c r="G81" s="36">
        <f>IF(OR(E81="",F81=""),"",NETWORKDAYS(E81,F81))</f>
        <v/>
      </c>
      <c r="H81" s="49" t="n"/>
      <c r="I81" s="49" t="n"/>
      <c r="J81" s="49" t="n"/>
      <c r="K81" s="49" t="n"/>
    </row>
    <row r="82">
      <c r="A82" s="49" t="n"/>
      <c r="B82" s="49" t="n"/>
      <c r="C82" s="36">
        <f>IFERROR(INDEX('Employee Database'!$B$3:$B$202,MATCH(B82,'Employee Database'!$A$3:$A$202,0)),"")</f>
        <v/>
      </c>
      <c r="D82" s="49" t="n"/>
      <c r="E82" s="50" t="n"/>
      <c r="F82" s="50" t="n"/>
      <c r="G82" s="36">
        <f>IF(OR(E82="",F82=""),"",NETWORKDAYS(E82,F82))</f>
        <v/>
      </c>
      <c r="H82" s="49" t="n"/>
      <c r="I82" s="49" t="n"/>
      <c r="J82" s="49" t="n"/>
      <c r="K82" s="49" t="n"/>
    </row>
    <row r="83">
      <c r="A83" s="49" t="n"/>
      <c r="B83" s="49" t="n"/>
      <c r="C83" s="36">
        <f>IFERROR(INDEX('Employee Database'!$B$3:$B$202,MATCH(B83,'Employee Database'!$A$3:$A$202,0)),"")</f>
        <v/>
      </c>
      <c r="D83" s="49" t="n"/>
      <c r="E83" s="50" t="n"/>
      <c r="F83" s="50" t="n"/>
      <c r="G83" s="36">
        <f>IF(OR(E83="",F83=""),"",NETWORKDAYS(E83,F83))</f>
        <v/>
      </c>
      <c r="H83" s="49" t="n"/>
      <c r="I83" s="49" t="n"/>
      <c r="J83" s="49" t="n"/>
      <c r="K83" s="49" t="n"/>
    </row>
    <row r="84">
      <c r="A84" s="49" t="n"/>
      <c r="B84" s="49" t="n"/>
      <c r="C84" s="36">
        <f>IFERROR(INDEX('Employee Database'!$B$3:$B$202,MATCH(B84,'Employee Database'!$A$3:$A$202,0)),"")</f>
        <v/>
      </c>
      <c r="D84" s="49" t="n"/>
      <c r="E84" s="50" t="n"/>
      <c r="F84" s="50" t="n"/>
      <c r="G84" s="36">
        <f>IF(OR(E84="",F84=""),"",NETWORKDAYS(E84,F84))</f>
        <v/>
      </c>
      <c r="H84" s="49" t="n"/>
      <c r="I84" s="49" t="n"/>
      <c r="J84" s="49" t="n"/>
      <c r="K84" s="49" t="n"/>
    </row>
    <row r="85">
      <c r="A85" s="49" t="n"/>
      <c r="B85" s="49" t="n"/>
      <c r="C85" s="36">
        <f>IFERROR(INDEX('Employee Database'!$B$3:$B$202,MATCH(B85,'Employee Database'!$A$3:$A$202,0)),"")</f>
        <v/>
      </c>
      <c r="D85" s="49" t="n"/>
      <c r="E85" s="50" t="n"/>
      <c r="F85" s="50" t="n"/>
      <c r="G85" s="36">
        <f>IF(OR(E85="",F85=""),"",NETWORKDAYS(E85,F85))</f>
        <v/>
      </c>
      <c r="H85" s="49" t="n"/>
      <c r="I85" s="49" t="n"/>
      <c r="J85" s="49" t="n"/>
      <c r="K85" s="49" t="n"/>
    </row>
    <row r="86">
      <c r="A86" s="49" t="n"/>
      <c r="B86" s="49" t="n"/>
      <c r="C86" s="36">
        <f>IFERROR(INDEX('Employee Database'!$B$3:$B$202,MATCH(B86,'Employee Database'!$A$3:$A$202,0)),"")</f>
        <v/>
      </c>
      <c r="D86" s="49" t="n"/>
      <c r="E86" s="50" t="n"/>
      <c r="F86" s="50" t="n"/>
      <c r="G86" s="36">
        <f>IF(OR(E86="",F86=""),"",NETWORKDAYS(E86,F86))</f>
        <v/>
      </c>
      <c r="H86" s="49" t="n"/>
      <c r="I86" s="49" t="n"/>
      <c r="J86" s="49" t="n"/>
      <c r="K86" s="49" t="n"/>
    </row>
    <row r="87">
      <c r="A87" s="49" t="n"/>
      <c r="B87" s="49" t="n"/>
      <c r="C87" s="36">
        <f>IFERROR(INDEX('Employee Database'!$B$3:$B$202,MATCH(B87,'Employee Database'!$A$3:$A$202,0)),"")</f>
        <v/>
      </c>
      <c r="D87" s="49" t="n"/>
      <c r="E87" s="50" t="n"/>
      <c r="F87" s="50" t="n"/>
      <c r="G87" s="36">
        <f>IF(OR(E87="",F87=""),"",NETWORKDAYS(E87,F87))</f>
        <v/>
      </c>
      <c r="H87" s="49" t="n"/>
      <c r="I87" s="49" t="n"/>
      <c r="J87" s="49" t="n"/>
      <c r="K87" s="49" t="n"/>
    </row>
    <row r="88">
      <c r="A88" s="49" t="n"/>
      <c r="B88" s="49" t="n"/>
      <c r="C88" s="36">
        <f>IFERROR(INDEX('Employee Database'!$B$3:$B$202,MATCH(B88,'Employee Database'!$A$3:$A$202,0)),"")</f>
        <v/>
      </c>
      <c r="D88" s="49" t="n"/>
      <c r="E88" s="50" t="n"/>
      <c r="F88" s="50" t="n"/>
      <c r="G88" s="36">
        <f>IF(OR(E88="",F88=""),"",NETWORKDAYS(E88,F88))</f>
        <v/>
      </c>
      <c r="H88" s="49" t="n"/>
      <c r="I88" s="49" t="n"/>
      <c r="J88" s="49" t="n"/>
      <c r="K88" s="49" t="n"/>
    </row>
    <row r="89">
      <c r="A89" s="49" t="n"/>
      <c r="B89" s="49" t="n"/>
      <c r="C89" s="36">
        <f>IFERROR(INDEX('Employee Database'!$B$3:$B$202,MATCH(B89,'Employee Database'!$A$3:$A$202,0)),"")</f>
        <v/>
      </c>
      <c r="D89" s="49" t="n"/>
      <c r="E89" s="50" t="n"/>
      <c r="F89" s="50" t="n"/>
      <c r="G89" s="36">
        <f>IF(OR(E89="",F89=""),"",NETWORKDAYS(E89,F89))</f>
        <v/>
      </c>
      <c r="H89" s="49" t="n"/>
      <c r="I89" s="49" t="n"/>
      <c r="J89" s="49" t="n"/>
      <c r="K89" s="49" t="n"/>
    </row>
    <row r="90">
      <c r="A90" s="49" t="n"/>
      <c r="B90" s="49" t="n"/>
      <c r="C90" s="36">
        <f>IFERROR(INDEX('Employee Database'!$B$3:$B$202,MATCH(B90,'Employee Database'!$A$3:$A$202,0)),"")</f>
        <v/>
      </c>
      <c r="D90" s="49" t="n"/>
      <c r="E90" s="50" t="n"/>
      <c r="F90" s="50" t="n"/>
      <c r="G90" s="36">
        <f>IF(OR(E90="",F90=""),"",NETWORKDAYS(E90,F90))</f>
        <v/>
      </c>
      <c r="H90" s="49" t="n"/>
      <c r="I90" s="49" t="n"/>
      <c r="J90" s="49" t="n"/>
      <c r="K90" s="49" t="n"/>
    </row>
    <row r="91">
      <c r="A91" s="49" t="n"/>
      <c r="B91" s="49" t="n"/>
      <c r="C91" s="36">
        <f>IFERROR(INDEX('Employee Database'!$B$3:$B$202,MATCH(B91,'Employee Database'!$A$3:$A$202,0)),"")</f>
        <v/>
      </c>
      <c r="D91" s="49" t="n"/>
      <c r="E91" s="50" t="n"/>
      <c r="F91" s="50" t="n"/>
      <c r="G91" s="36">
        <f>IF(OR(E91="",F91=""),"",NETWORKDAYS(E91,F91))</f>
        <v/>
      </c>
      <c r="H91" s="49" t="n"/>
      <c r="I91" s="49" t="n"/>
      <c r="J91" s="49" t="n"/>
      <c r="K91" s="49" t="n"/>
    </row>
    <row r="92">
      <c r="A92" s="49" t="n"/>
      <c r="B92" s="49" t="n"/>
      <c r="C92" s="36">
        <f>IFERROR(INDEX('Employee Database'!$B$3:$B$202,MATCH(B92,'Employee Database'!$A$3:$A$202,0)),"")</f>
        <v/>
      </c>
      <c r="D92" s="49" t="n"/>
      <c r="E92" s="50" t="n"/>
      <c r="F92" s="50" t="n"/>
      <c r="G92" s="36">
        <f>IF(OR(E92="",F92=""),"",NETWORKDAYS(E92,F92))</f>
        <v/>
      </c>
      <c r="H92" s="49" t="n"/>
      <c r="I92" s="49" t="n"/>
      <c r="J92" s="49" t="n"/>
      <c r="K92" s="49" t="n"/>
    </row>
    <row r="93">
      <c r="A93" s="49" t="n"/>
      <c r="B93" s="49" t="n"/>
      <c r="C93" s="36">
        <f>IFERROR(INDEX('Employee Database'!$B$3:$B$202,MATCH(B93,'Employee Database'!$A$3:$A$202,0)),"")</f>
        <v/>
      </c>
      <c r="D93" s="49" t="n"/>
      <c r="E93" s="50" t="n"/>
      <c r="F93" s="50" t="n"/>
      <c r="G93" s="36">
        <f>IF(OR(E93="",F93=""),"",NETWORKDAYS(E93,F93))</f>
        <v/>
      </c>
      <c r="H93" s="49" t="n"/>
      <c r="I93" s="49" t="n"/>
      <c r="J93" s="49" t="n"/>
      <c r="K93" s="49" t="n"/>
    </row>
    <row r="94">
      <c r="A94" s="49" t="n"/>
      <c r="B94" s="49" t="n"/>
      <c r="C94" s="36">
        <f>IFERROR(INDEX('Employee Database'!$B$3:$B$202,MATCH(B94,'Employee Database'!$A$3:$A$202,0)),"")</f>
        <v/>
      </c>
      <c r="D94" s="49" t="n"/>
      <c r="E94" s="50" t="n"/>
      <c r="F94" s="50" t="n"/>
      <c r="G94" s="36">
        <f>IF(OR(E94="",F94=""),"",NETWORKDAYS(E94,F94))</f>
        <v/>
      </c>
      <c r="H94" s="49" t="n"/>
      <c r="I94" s="49" t="n"/>
      <c r="J94" s="49" t="n"/>
      <c r="K94" s="49" t="n"/>
    </row>
    <row r="95">
      <c r="A95" s="49" t="n"/>
      <c r="B95" s="49" t="n"/>
      <c r="C95" s="36">
        <f>IFERROR(INDEX('Employee Database'!$B$3:$B$202,MATCH(B95,'Employee Database'!$A$3:$A$202,0)),"")</f>
        <v/>
      </c>
      <c r="D95" s="49" t="n"/>
      <c r="E95" s="50" t="n"/>
      <c r="F95" s="50" t="n"/>
      <c r="G95" s="36">
        <f>IF(OR(E95="",F95=""),"",NETWORKDAYS(E95,F95))</f>
        <v/>
      </c>
      <c r="H95" s="49" t="n"/>
      <c r="I95" s="49" t="n"/>
      <c r="J95" s="49" t="n"/>
      <c r="K95" s="49" t="n"/>
    </row>
    <row r="96">
      <c r="A96" s="49" t="n"/>
      <c r="B96" s="49" t="n"/>
      <c r="C96" s="36">
        <f>IFERROR(INDEX('Employee Database'!$B$3:$B$202,MATCH(B96,'Employee Database'!$A$3:$A$202,0)),"")</f>
        <v/>
      </c>
      <c r="D96" s="49" t="n"/>
      <c r="E96" s="50" t="n"/>
      <c r="F96" s="50" t="n"/>
      <c r="G96" s="36">
        <f>IF(OR(E96="",F96=""),"",NETWORKDAYS(E96,F96))</f>
        <v/>
      </c>
      <c r="H96" s="49" t="n"/>
      <c r="I96" s="49" t="n"/>
      <c r="J96" s="49" t="n"/>
      <c r="K96" s="49" t="n"/>
    </row>
    <row r="97">
      <c r="A97" s="49" t="n"/>
      <c r="B97" s="49" t="n"/>
      <c r="C97" s="36">
        <f>IFERROR(INDEX('Employee Database'!$B$3:$B$202,MATCH(B97,'Employee Database'!$A$3:$A$202,0)),"")</f>
        <v/>
      </c>
      <c r="D97" s="49" t="n"/>
      <c r="E97" s="50" t="n"/>
      <c r="F97" s="50" t="n"/>
      <c r="G97" s="36">
        <f>IF(OR(E97="",F97=""),"",NETWORKDAYS(E97,F97))</f>
        <v/>
      </c>
      <c r="H97" s="49" t="n"/>
      <c r="I97" s="49" t="n"/>
      <c r="J97" s="49" t="n"/>
      <c r="K97" s="49" t="n"/>
    </row>
    <row r="98">
      <c r="A98" s="49" t="n"/>
      <c r="B98" s="49" t="n"/>
      <c r="C98" s="36">
        <f>IFERROR(INDEX('Employee Database'!$B$3:$B$202,MATCH(B98,'Employee Database'!$A$3:$A$202,0)),"")</f>
        <v/>
      </c>
      <c r="D98" s="49" t="n"/>
      <c r="E98" s="50" t="n"/>
      <c r="F98" s="50" t="n"/>
      <c r="G98" s="36">
        <f>IF(OR(E98="",F98=""),"",NETWORKDAYS(E98,F98))</f>
        <v/>
      </c>
      <c r="H98" s="49" t="n"/>
      <c r="I98" s="49" t="n"/>
      <c r="J98" s="49" t="n"/>
      <c r="K98" s="49" t="n"/>
    </row>
    <row r="99">
      <c r="A99" s="49" t="n"/>
      <c r="B99" s="49" t="n"/>
      <c r="C99" s="36">
        <f>IFERROR(INDEX('Employee Database'!$B$3:$B$202,MATCH(B99,'Employee Database'!$A$3:$A$202,0)),"")</f>
        <v/>
      </c>
      <c r="D99" s="49" t="n"/>
      <c r="E99" s="50" t="n"/>
      <c r="F99" s="50" t="n"/>
      <c r="G99" s="36">
        <f>IF(OR(E99="",F99=""),"",NETWORKDAYS(E99,F99))</f>
        <v/>
      </c>
      <c r="H99" s="49" t="n"/>
      <c r="I99" s="49" t="n"/>
      <c r="J99" s="49" t="n"/>
      <c r="K99" s="49" t="n"/>
    </row>
    <row r="100">
      <c r="A100" s="49" t="n"/>
      <c r="B100" s="49" t="n"/>
      <c r="C100" s="36">
        <f>IFERROR(INDEX('Employee Database'!$B$3:$B$202,MATCH(B100,'Employee Database'!$A$3:$A$202,0)),"")</f>
        <v/>
      </c>
      <c r="D100" s="49" t="n"/>
      <c r="E100" s="50" t="n"/>
      <c r="F100" s="50" t="n"/>
      <c r="G100" s="36">
        <f>IF(OR(E100="",F100=""),"",NETWORKDAYS(E100,F100))</f>
        <v/>
      </c>
      <c r="H100" s="49" t="n"/>
      <c r="I100" s="49" t="n"/>
      <c r="J100" s="49" t="n"/>
      <c r="K100" s="49" t="n"/>
    </row>
    <row r="101">
      <c r="A101" s="49" t="n"/>
      <c r="B101" s="49" t="n"/>
      <c r="C101" s="36">
        <f>IFERROR(INDEX('Employee Database'!$B$3:$B$202,MATCH(B101,'Employee Database'!$A$3:$A$202,0)),"")</f>
        <v/>
      </c>
      <c r="D101" s="49" t="n"/>
      <c r="E101" s="50" t="n"/>
      <c r="F101" s="50" t="n"/>
      <c r="G101" s="36">
        <f>IF(OR(E101="",F101=""),"",NETWORKDAYS(E101,F101))</f>
        <v/>
      </c>
      <c r="H101" s="49" t="n"/>
      <c r="I101" s="49" t="n"/>
      <c r="J101" s="49" t="n"/>
      <c r="K101" s="49" t="n"/>
    </row>
    <row r="102">
      <c r="A102" s="49" t="n"/>
      <c r="B102" s="49" t="n"/>
      <c r="C102" s="36">
        <f>IFERROR(INDEX('Employee Database'!$B$3:$B$202,MATCH(B102,'Employee Database'!$A$3:$A$202,0)),"")</f>
        <v/>
      </c>
      <c r="D102" s="49" t="n"/>
      <c r="E102" s="50" t="n"/>
      <c r="F102" s="50" t="n"/>
      <c r="G102" s="36">
        <f>IF(OR(E102="",F102=""),"",NETWORKDAYS(E102,F102))</f>
        <v/>
      </c>
      <c r="H102" s="49" t="n"/>
      <c r="I102" s="49" t="n"/>
      <c r="J102" s="49" t="n"/>
      <c r="K102" s="49" t="n"/>
    </row>
    <row r="103">
      <c r="A103" s="49" t="n"/>
      <c r="B103" s="49" t="n"/>
      <c r="C103" s="36">
        <f>IFERROR(INDEX('Employee Database'!$B$3:$B$202,MATCH(B103,'Employee Database'!$A$3:$A$202,0)),"")</f>
        <v/>
      </c>
      <c r="D103" s="49" t="n"/>
      <c r="E103" s="50" t="n"/>
      <c r="F103" s="50" t="n"/>
      <c r="G103" s="36">
        <f>IF(OR(E103="",F103=""),"",NETWORKDAYS(E103,F103))</f>
        <v/>
      </c>
      <c r="H103" s="49" t="n"/>
      <c r="I103" s="49" t="n"/>
      <c r="J103" s="49" t="n"/>
      <c r="K103" s="49" t="n"/>
    </row>
    <row r="104">
      <c r="A104" s="49" t="n"/>
      <c r="B104" s="49" t="n"/>
      <c r="C104" s="36">
        <f>IFERROR(INDEX('Employee Database'!$B$3:$B$202,MATCH(B104,'Employee Database'!$A$3:$A$202,0)),"")</f>
        <v/>
      </c>
      <c r="D104" s="49" t="n"/>
      <c r="E104" s="50" t="n"/>
      <c r="F104" s="50" t="n"/>
      <c r="G104" s="36">
        <f>IF(OR(E104="",F104=""),"",NETWORKDAYS(E104,F104))</f>
        <v/>
      </c>
      <c r="H104" s="49" t="n"/>
      <c r="I104" s="49" t="n"/>
      <c r="J104" s="49" t="n"/>
      <c r="K104" s="49" t="n"/>
    </row>
    <row r="105">
      <c r="A105" s="49" t="n"/>
      <c r="B105" s="49" t="n"/>
      <c r="C105" s="36">
        <f>IFERROR(INDEX('Employee Database'!$B$3:$B$202,MATCH(B105,'Employee Database'!$A$3:$A$202,0)),"")</f>
        <v/>
      </c>
      <c r="D105" s="49" t="n"/>
      <c r="E105" s="50" t="n"/>
      <c r="F105" s="50" t="n"/>
      <c r="G105" s="36">
        <f>IF(OR(E105="",F105=""),"",NETWORKDAYS(E105,F105))</f>
        <v/>
      </c>
      <c r="H105" s="49" t="n"/>
      <c r="I105" s="49" t="n"/>
      <c r="J105" s="49" t="n"/>
      <c r="K105" s="49" t="n"/>
    </row>
    <row r="106">
      <c r="A106" s="49" t="n"/>
      <c r="B106" s="49" t="n"/>
      <c r="C106" s="36">
        <f>IFERROR(INDEX('Employee Database'!$B$3:$B$202,MATCH(B106,'Employee Database'!$A$3:$A$202,0)),"")</f>
        <v/>
      </c>
      <c r="D106" s="49" t="n"/>
      <c r="E106" s="50" t="n"/>
      <c r="F106" s="50" t="n"/>
      <c r="G106" s="36">
        <f>IF(OR(E106="",F106=""),"",NETWORKDAYS(E106,F106))</f>
        <v/>
      </c>
      <c r="H106" s="49" t="n"/>
      <c r="I106" s="49" t="n"/>
      <c r="J106" s="49" t="n"/>
      <c r="K106" s="49" t="n"/>
    </row>
    <row r="107">
      <c r="A107" s="49" t="n"/>
      <c r="B107" s="49" t="n"/>
      <c r="C107" s="36">
        <f>IFERROR(INDEX('Employee Database'!$B$3:$B$202,MATCH(B107,'Employee Database'!$A$3:$A$202,0)),"")</f>
        <v/>
      </c>
      <c r="D107" s="49" t="n"/>
      <c r="E107" s="50" t="n"/>
      <c r="F107" s="50" t="n"/>
      <c r="G107" s="36">
        <f>IF(OR(E107="",F107=""),"",NETWORKDAYS(E107,F107))</f>
        <v/>
      </c>
      <c r="H107" s="49" t="n"/>
      <c r="I107" s="49" t="n"/>
      <c r="J107" s="49" t="n"/>
      <c r="K107" s="49" t="n"/>
    </row>
    <row r="108">
      <c r="A108" s="49" t="n"/>
      <c r="B108" s="49" t="n"/>
      <c r="C108" s="36">
        <f>IFERROR(INDEX('Employee Database'!$B$3:$B$202,MATCH(B108,'Employee Database'!$A$3:$A$202,0)),"")</f>
        <v/>
      </c>
      <c r="D108" s="49" t="n"/>
      <c r="E108" s="50" t="n"/>
      <c r="F108" s="50" t="n"/>
      <c r="G108" s="36">
        <f>IF(OR(E108="",F108=""),"",NETWORKDAYS(E108,F108))</f>
        <v/>
      </c>
      <c r="H108" s="49" t="n"/>
      <c r="I108" s="49" t="n"/>
      <c r="J108" s="49" t="n"/>
      <c r="K108" s="49" t="n"/>
    </row>
    <row r="109">
      <c r="A109" s="49" t="n"/>
      <c r="B109" s="49" t="n"/>
      <c r="C109" s="36">
        <f>IFERROR(INDEX('Employee Database'!$B$3:$B$202,MATCH(B109,'Employee Database'!$A$3:$A$202,0)),"")</f>
        <v/>
      </c>
      <c r="D109" s="49" t="n"/>
      <c r="E109" s="50" t="n"/>
      <c r="F109" s="50" t="n"/>
      <c r="G109" s="36">
        <f>IF(OR(E109="",F109=""),"",NETWORKDAYS(E109,F109))</f>
        <v/>
      </c>
      <c r="H109" s="49" t="n"/>
      <c r="I109" s="49" t="n"/>
      <c r="J109" s="49" t="n"/>
      <c r="K109" s="49" t="n"/>
    </row>
    <row r="110">
      <c r="A110" s="49" t="n"/>
      <c r="B110" s="49" t="n"/>
      <c r="C110" s="36">
        <f>IFERROR(INDEX('Employee Database'!$B$3:$B$202,MATCH(B110,'Employee Database'!$A$3:$A$202,0)),"")</f>
        <v/>
      </c>
      <c r="D110" s="49" t="n"/>
      <c r="E110" s="50" t="n"/>
      <c r="F110" s="50" t="n"/>
      <c r="G110" s="36">
        <f>IF(OR(E110="",F110=""),"",NETWORKDAYS(E110,F110))</f>
        <v/>
      </c>
      <c r="H110" s="49" t="n"/>
      <c r="I110" s="49" t="n"/>
      <c r="J110" s="49" t="n"/>
      <c r="K110" s="49" t="n"/>
    </row>
    <row r="111">
      <c r="A111" s="49" t="n"/>
      <c r="B111" s="49" t="n"/>
      <c r="C111" s="36">
        <f>IFERROR(INDEX('Employee Database'!$B$3:$B$202,MATCH(B111,'Employee Database'!$A$3:$A$202,0)),"")</f>
        <v/>
      </c>
      <c r="D111" s="49" t="n"/>
      <c r="E111" s="50" t="n"/>
      <c r="F111" s="50" t="n"/>
      <c r="G111" s="36">
        <f>IF(OR(E111="",F111=""),"",NETWORKDAYS(E111,F111))</f>
        <v/>
      </c>
      <c r="H111" s="49" t="n"/>
      <c r="I111" s="49" t="n"/>
      <c r="J111" s="49" t="n"/>
      <c r="K111" s="49" t="n"/>
    </row>
    <row r="112">
      <c r="A112" s="49" t="n"/>
      <c r="B112" s="49" t="n"/>
      <c r="C112" s="36">
        <f>IFERROR(INDEX('Employee Database'!$B$3:$B$202,MATCH(B112,'Employee Database'!$A$3:$A$202,0)),"")</f>
        <v/>
      </c>
      <c r="D112" s="49" t="n"/>
      <c r="E112" s="50" t="n"/>
      <c r="F112" s="50" t="n"/>
      <c r="G112" s="36">
        <f>IF(OR(E112="",F112=""),"",NETWORKDAYS(E112,F112))</f>
        <v/>
      </c>
      <c r="H112" s="49" t="n"/>
      <c r="I112" s="49" t="n"/>
      <c r="J112" s="49" t="n"/>
      <c r="K112" s="49" t="n"/>
    </row>
    <row r="113">
      <c r="A113" s="49" t="n"/>
      <c r="B113" s="49" t="n"/>
      <c r="C113" s="36">
        <f>IFERROR(INDEX('Employee Database'!$B$3:$B$202,MATCH(B113,'Employee Database'!$A$3:$A$202,0)),"")</f>
        <v/>
      </c>
      <c r="D113" s="49" t="n"/>
      <c r="E113" s="50" t="n"/>
      <c r="F113" s="50" t="n"/>
      <c r="G113" s="36">
        <f>IF(OR(E113="",F113=""),"",NETWORKDAYS(E113,F113))</f>
        <v/>
      </c>
      <c r="H113" s="49" t="n"/>
      <c r="I113" s="49" t="n"/>
      <c r="J113" s="49" t="n"/>
      <c r="K113" s="49" t="n"/>
    </row>
    <row r="114">
      <c r="A114" s="49" t="n"/>
      <c r="B114" s="49" t="n"/>
      <c r="C114" s="36">
        <f>IFERROR(INDEX('Employee Database'!$B$3:$B$202,MATCH(B114,'Employee Database'!$A$3:$A$202,0)),"")</f>
        <v/>
      </c>
      <c r="D114" s="49" t="n"/>
      <c r="E114" s="50" t="n"/>
      <c r="F114" s="50" t="n"/>
      <c r="G114" s="36">
        <f>IF(OR(E114="",F114=""),"",NETWORKDAYS(E114,F114))</f>
        <v/>
      </c>
      <c r="H114" s="49" t="n"/>
      <c r="I114" s="49" t="n"/>
      <c r="J114" s="49" t="n"/>
      <c r="K114" s="49" t="n"/>
    </row>
    <row r="115">
      <c r="A115" s="49" t="n"/>
      <c r="B115" s="49" t="n"/>
      <c r="C115" s="36">
        <f>IFERROR(INDEX('Employee Database'!$B$3:$B$202,MATCH(B115,'Employee Database'!$A$3:$A$202,0)),"")</f>
        <v/>
      </c>
      <c r="D115" s="49" t="n"/>
      <c r="E115" s="50" t="n"/>
      <c r="F115" s="50" t="n"/>
      <c r="G115" s="36">
        <f>IF(OR(E115="",F115=""),"",NETWORKDAYS(E115,F115))</f>
        <v/>
      </c>
      <c r="H115" s="49" t="n"/>
      <c r="I115" s="49" t="n"/>
      <c r="J115" s="49" t="n"/>
      <c r="K115" s="49" t="n"/>
    </row>
    <row r="116">
      <c r="A116" s="49" t="n"/>
      <c r="B116" s="49" t="n"/>
      <c r="C116" s="36">
        <f>IFERROR(INDEX('Employee Database'!$B$3:$B$202,MATCH(B116,'Employee Database'!$A$3:$A$202,0)),"")</f>
        <v/>
      </c>
      <c r="D116" s="49" t="n"/>
      <c r="E116" s="50" t="n"/>
      <c r="F116" s="50" t="n"/>
      <c r="G116" s="36">
        <f>IF(OR(E116="",F116=""),"",NETWORKDAYS(E116,F116))</f>
        <v/>
      </c>
      <c r="H116" s="49" t="n"/>
      <c r="I116" s="49" t="n"/>
      <c r="J116" s="49" t="n"/>
      <c r="K116" s="49" t="n"/>
    </row>
    <row r="117">
      <c r="A117" s="49" t="n"/>
      <c r="B117" s="49" t="n"/>
      <c r="C117" s="36">
        <f>IFERROR(INDEX('Employee Database'!$B$3:$B$202,MATCH(B117,'Employee Database'!$A$3:$A$202,0)),"")</f>
        <v/>
      </c>
      <c r="D117" s="49" t="n"/>
      <c r="E117" s="50" t="n"/>
      <c r="F117" s="50" t="n"/>
      <c r="G117" s="36">
        <f>IF(OR(E117="",F117=""),"",NETWORKDAYS(E117,F117))</f>
        <v/>
      </c>
      <c r="H117" s="49" t="n"/>
      <c r="I117" s="49" t="n"/>
      <c r="J117" s="49" t="n"/>
      <c r="K117" s="49" t="n"/>
    </row>
    <row r="118">
      <c r="A118" s="49" t="n"/>
      <c r="B118" s="49" t="n"/>
      <c r="C118" s="36">
        <f>IFERROR(INDEX('Employee Database'!$B$3:$B$202,MATCH(B118,'Employee Database'!$A$3:$A$202,0)),"")</f>
        <v/>
      </c>
      <c r="D118" s="49" t="n"/>
      <c r="E118" s="50" t="n"/>
      <c r="F118" s="50" t="n"/>
      <c r="G118" s="36">
        <f>IF(OR(E118="",F118=""),"",NETWORKDAYS(E118,F118))</f>
        <v/>
      </c>
      <c r="H118" s="49" t="n"/>
      <c r="I118" s="49" t="n"/>
      <c r="J118" s="49" t="n"/>
      <c r="K118" s="49" t="n"/>
    </row>
    <row r="119">
      <c r="A119" s="49" t="n"/>
      <c r="B119" s="49" t="n"/>
      <c r="C119" s="36">
        <f>IFERROR(INDEX('Employee Database'!$B$3:$B$202,MATCH(B119,'Employee Database'!$A$3:$A$202,0)),"")</f>
        <v/>
      </c>
      <c r="D119" s="49" t="n"/>
      <c r="E119" s="50" t="n"/>
      <c r="F119" s="50" t="n"/>
      <c r="G119" s="36">
        <f>IF(OR(E119="",F119=""),"",NETWORKDAYS(E119,F119))</f>
        <v/>
      </c>
      <c r="H119" s="49" t="n"/>
      <c r="I119" s="49" t="n"/>
      <c r="J119" s="49" t="n"/>
      <c r="K119" s="49" t="n"/>
    </row>
    <row r="120">
      <c r="A120" s="49" t="n"/>
      <c r="B120" s="49" t="n"/>
      <c r="C120" s="36">
        <f>IFERROR(INDEX('Employee Database'!$B$3:$B$202,MATCH(B120,'Employee Database'!$A$3:$A$202,0)),"")</f>
        <v/>
      </c>
      <c r="D120" s="49" t="n"/>
      <c r="E120" s="50" t="n"/>
      <c r="F120" s="50" t="n"/>
      <c r="G120" s="36">
        <f>IF(OR(E120="",F120=""),"",NETWORKDAYS(E120,F120))</f>
        <v/>
      </c>
      <c r="H120" s="49" t="n"/>
      <c r="I120" s="49" t="n"/>
      <c r="J120" s="49" t="n"/>
      <c r="K120" s="49" t="n"/>
    </row>
    <row r="121">
      <c r="A121" s="49" t="n"/>
      <c r="B121" s="49" t="n"/>
      <c r="C121" s="36">
        <f>IFERROR(INDEX('Employee Database'!$B$3:$B$202,MATCH(B121,'Employee Database'!$A$3:$A$202,0)),"")</f>
        <v/>
      </c>
      <c r="D121" s="49" t="n"/>
      <c r="E121" s="50" t="n"/>
      <c r="F121" s="50" t="n"/>
      <c r="G121" s="36">
        <f>IF(OR(E121="",F121=""),"",NETWORKDAYS(E121,F121))</f>
        <v/>
      </c>
      <c r="H121" s="49" t="n"/>
      <c r="I121" s="49" t="n"/>
      <c r="J121" s="49" t="n"/>
      <c r="K121" s="49" t="n"/>
    </row>
    <row r="122">
      <c r="A122" s="49" t="n"/>
      <c r="B122" s="49" t="n"/>
      <c r="C122" s="36">
        <f>IFERROR(INDEX('Employee Database'!$B$3:$B$202,MATCH(B122,'Employee Database'!$A$3:$A$202,0)),"")</f>
        <v/>
      </c>
      <c r="D122" s="49" t="n"/>
      <c r="E122" s="50" t="n"/>
      <c r="F122" s="50" t="n"/>
      <c r="G122" s="36">
        <f>IF(OR(E122="",F122=""),"",NETWORKDAYS(E122,F122))</f>
        <v/>
      </c>
      <c r="H122" s="49" t="n"/>
      <c r="I122" s="49" t="n"/>
      <c r="J122" s="49" t="n"/>
      <c r="K122" s="49" t="n"/>
    </row>
    <row r="123">
      <c r="A123" s="49" t="n"/>
      <c r="B123" s="49" t="n"/>
      <c r="C123" s="36">
        <f>IFERROR(INDEX('Employee Database'!$B$3:$B$202,MATCH(B123,'Employee Database'!$A$3:$A$202,0)),"")</f>
        <v/>
      </c>
      <c r="D123" s="49" t="n"/>
      <c r="E123" s="50" t="n"/>
      <c r="F123" s="50" t="n"/>
      <c r="G123" s="36">
        <f>IF(OR(E123="",F123=""),"",NETWORKDAYS(E123,F123))</f>
        <v/>
      </c>
      <c r="H123" s="49" t="n"/>
      <c r="I123" s="49" t="n"/>
      <c r="J123" s="49" t="n"/>
      <c r="K123" s="49" t="n"/>
    </row>
    <row r="124">
      <c r="A124" s="49" t="n"/>
      <c r="B124" s="49" t="n"/>
      <c r="C124" s="36">
        <f>IFERROR(INDEX('Employee Database'!$B$3:$B$202,MATCH(B124,'Employee Database'!$A$3:$A$202,0)),"")</f>
        <v/>
      </c>
      <c r="D124" s="49" t="n"/>
      <c r="E124" s="50" t="n"/>
      <c r="F124" s="50" t="n"/>
      <c r="G124" s="36">
        <f>IF(OR(E124="",F124=""),"",NETWORKDAYS(E124,F124))</f>
        <v/>
      </c>
      <c r="H124" s="49" t="n"/>
      <c r="I124" s="49" t="n"/>
      <c r="J124" s="49" t="n"/>
      <c r="K124" s="49" t="n"/>
    </row>
    <row r="125">
      <c r="A125" s="49" t="n"/>
      <c r="B125" s="49" t="n"/>
      <c r="C125" s="36">
        <f>IFERROR(INDEX('Employee Database'!$B$3:$B$202,MATCH(B125,'Employee Database'!$A$3:$A$202,0)),"")</f>
        <v/>
      </c>
      <c r="D125" s="49" t="n"/>
      <c r="E125" s="50" t="n"/>
      <c r="F125" s="50" t="n"/>
      <c r="G125" s="36">
        <f>IF(OR(E125="",F125=""),"",NETWORKDAYS(E125,F125))</f>
        <v/>
      </c>
      <c r="H125" s="49" t="n"/>
      <c r="I125" s="49" t="n"/>
      <c r="J125" s="49" t="n"/>
      <c r="K125" s="49" t="n"/>
    </row>
    <row r="126">
      <c r="A126" s="49" t="n"/>
      <c r="B126" s="49" t="n"/>
      <c r="C126" s="36">
        <f>IFERROR(INDEX('Employee Database'!$B$3:$B$202,MATCH(B126,'Employee Database'!$A$3:$A$202,0)),"")</f>
        <v/>
      </c>
      <c r="D126" s="49" t="n"/>
      <c r="E126" s="50" t="n"/>
      <c r="F126" s="50" t="n"/>
      <c r="G126" s="36">
        <f>IF(OR(E126="",F126=""),"",NETWORKDAYS(E126,F126))</f>
        <v/>
      </c>
      <c r="H126" s="49" t="n"/>
      <c r="I126" s="49" t="n"/>
      <c r="J126" s="49" t="n"/>
      <c r="K126" s="49" t="n"/>
    </row>
    <row r="127">
      <c r="A127" s="49" t="n"/>
      <c r="B127" s="49" t="n"/>
      <c r="C127" s="36">
        <f>IFERROR(INDEX('Employee Database'!$B$3:$B$202,MATCH(B127,'Employee Database'!$A$3:$A$202,0)),"")</f>
        <v/>
      </c>
      <c r="D127" s="49" t="n"/>
      <c r="E127" s="50" t="n"/>
      <c r="F127" s="50" t="n"/>
      <c r="G127" s="36">
        <f>IF(OR(E127="",F127=""),"",NETWORKDAYS(E127,F127))</f>
        <v/>
      </c>
      <c r="H127" s="49" t="n"/>
      <c r="I127" s="49" t="n"/>
      <c r="J127" s="49" t="n"/>
      <c r="K127" s="49" t="n"/>
    </row>
    <row r="128">
      <c r="A128" s="49" t="n"/>
      <c r="B128" s="49" t="n"/>
      <c r="C128" s="36">
        <f>IFERROR(INDEX('Employee Database'!$B$3:$B$202,MATCH(B128,'Employee Database'!$A$3:$A$202,0)),"")</f>
        <v/>
      </c>
      <c r="D128" s="49" t="n"/>
      <c r="E128" s="50" t="n"/>
      <c r="F128" s="50" t="n"/>
      <c r="G128" s="36">
        <f>IF(OR(E128="",F128=""),"",NETWORKDAYS(E128,F128))</f>
        <v/>
      </c>
      <c r="H128" s="49" t="n"/>
      <c r="I128" s="49" t="n"/>
      <c r="J128" s="49" t="n"/>
      <c r="K128" s="49" t="n"/>
    </row>
    <row r="129">
      <c r="A129" s="49" t="n"/>
      <c r="B129" s="49" t="n"/>
      <c r="C129" s="36">
        <f>IFERROR(INDEX('Employee Database'!$B$3:$B$202,MATCH(B129,'Employee Database'!$A$3:$A$202,0)),"")</f>
        <v/>
      </c>
      <c r="D129" s="49" t="n"/>
      <c r="E129" s="50" t="n"/>
      <c r="F129" s="50" t="n"/>
      <c r="G129" s="36">
        <f>IF(OR(E129="",F129=""),"",NETWORKDAYS(E129,F129))</f>
        <v/>
      </c>
      <c r="H129" s="49" t="n"/>
      <c r="I129" s="49" t="n"/>
      <c r="J129" s="49" t="n"/>
      <c r="K129" s="49" t="n"/>
    </row>
    <row r="130">
      <c r="A130" s="49" t="n"/>
      <c r="B130" s="49" t="n"/>
      <c r="C130" s="36">
        <f>IFERROR(INDEX('Employee Database'!$B$3:$B$202,MATCH(B130,'Employee Database'!$A$3:$A$202,0)),"")</f>
        <v/>
      </c>
      <c r="D130" s="49" t="n"/>
      <c r="E130" s="50" t="n"/>
      <c r="F130" s="50" t="n"/>
      <c r="G130" s="36">
        <f>IF(OR(E130="",F130=""),"",NETWORKDAYS(E130,F130))</f>
        <v/>
      </c>
      <c r="H130" s="49" t="n"/>
      <c r="I130" s="49" t="n"/>
      <c r="J130" s="49" t="n"/>
      <c r="K130" s="49" t="n"/>
    </row>
    <row r="131">
      <c r="A131" s="49" t="n"/>
      <c r="B131" s="49" t="n"/>
      <c r="C131" s="36">
        <f>IFERROR(INDEX('Employee Database'!$B$3:$B$202,MATCH(B131,'Employee Database'!$A$3:$A$202,0)),"")</f>
        <v/>
      </c>
      <c r="D131" s="49" t="n"/>
      <c r="E131" s="50" t="n"/>
      <c r="F131" s="50" t="n"/>
      <c r="G131" s="36">
        <f>IF(OR(E131="",F131=""),"",NETWORKDAYS(E131,F131))</f>
        <v/>
      </c>
      <c r="H131" s="49" t="n"/>
      <c r="I131" s="49" t="n"/>
      <c r="J131" s="49" t="n"/>
      <c r="K131" s="49" t="n"/>
    </row>
    <row r="132">
      <c r="A132" s="49" t="n"/>
      <c r="B132" s="49" t="n"/>
      <c r="C132" s="36">
        <f>IFERROR(INDEX('Employee Database'!$B$3:$B$202,MATCH(B132,'Employee Database'!$A$3:$A$202,0)),"")</f>
        <v/>
      </c>
      <c r="D132" s="49" t="n"/>
      <c r="E132" s="50" t="n"/>
      <c r="F132" s="50" t="n"/>
      <c r="G132" s="36">
        <f>IF(OR(E132="",F132=""),"",NETWORKDAYS(E132,F132))</f>
        <v/>
      </c>
      <c r="H132" s="49" t="n"/>
      <c r="I132" s="49" t="n"/>
      <c r="J132" s="49" t="n"/>
      <c r="K132" s="49" t="n"/>
    </row>
    <row r="133">
      <c r="A133" s="49" t="n"/>
      <c r="B133" s="49" t="n"/>
      <c r="C133" s="36">
        <f>IFERROR(INDEX('Employee Database'!$B$3:$B$202,MATCH(B133,'Employee Database'!$A$3:$A$202,0)),"")</f>
        <v/>
      </c>
      <c r="D133" s="49" t="n"/>
      <c r="E133" s="50" t="n"/>
      <c r="F133" s="50" t="n"/>
      <c r="G133" s="36">
        <f>IF(OR(E133="",F133=""),"",NETWORKDAYS(E133,F133))</f>
        <v/>
      </c>
      <c r="H133" s="49" t="n"/>
      <c r="I133" s="49" t="n"/>
      <c r="J133" s="49" t="n"/>
      <c r="K133" s="49" t="n"/>
    </row>
    <row r="134">
      <c r="A134" s="49" t="n"/>
      <c r="B134" s="49" t="n"/>
      <c r="C134" s="36">
        <f>IFERROR(INDEX('Employee Database'!$B$3:$B$202,MATCH(B134,'Employee Database'!$A$3:$A$202,0)),"")</f>
        <v/>
      </c>
      <c r="D134" s="49" t="n"/>
      <c r="E134" s="50" t="n"/>
      <c r="F134" s="50" t="n"/>
      <c r="G134" s="36">
        <f>IF(OR(E134="",F134=""),"",NETWORKDAYS(E134,F134))</f>
        <v/>
      </c>
      <c r="H134" s="49" t="n"/>
      <c r="I134" s="49" t="n"/>
      <c r="J134" s="49" t="n"/>
      <c r="K134" s="49" t="n"/>
    </row>
    <row r="135">
      <c r="A135" s="49" t="n"/>
      <c r="B135" s="49" t="n"/>
      <c r="C135" s="36">
        <f>IFERROR(INDEX('Employee Database'!$B$3:$B$202,MATCH(B135,'Employee Database'!$A$3:$A$202,0)),"")</f>
        <v/>
      </c>
      <c r="D135" s="49" t="n"/>
      <c r="E135" s="50" t="n"/>
      <c r="F135" s="50" t="n"/>
      <c r="G135" s="36">
        <f>IF(OR(E135="",F135=""),"",NETWORKDAYS(E135,F135))</f>
        <v/>
      </c>
      <c r="H135" s="49" t="n"/>
      <c r="I135" s="49" t="n"/>
      <c r="J135" s="49" t="n"/>
      <c r="K135" s="49" t="n"/>
    </row>
    <row r="136">
      <c r="A136" s="49" t="n"/>
      <c r="B136" s="49" t="n"/>
      <c r="C136" s="36">
        <f>IFERROR(INDEX('Employee Database'!$B$3:$B$202,MATCH(B136,'Employee Database'!$A$3:$A$202,0)),"")</f>
        <v/>
      </c>
      <c r="D136" s="49" t="n"/>
      <c r="E136" s="50" t="n"/>
      <c r="F136" s="50" t="n"/>
      <c r="G136" s="36">
        <f>IF(OR(E136="",F136=""),"",NETWORKDAYS(E136,F136))</f>
        <v/>
      </c>
      <c r="H136" s="49" t="n"/>
      <c r="I136" s="49" t="n"/>
      <c r="J136" s="49" t="n"/>
      <c r="K136" s="49" t="n"/>
    </row>
    <row r="137">
      <c r="A137" s="49" t="n"/>
      <c r="B137" s="49" t="n"/>
      <c r="C137" s="36">
        <f>IFERROR(INDEX('Employee Database'!$B$3:$B$202,MATCH(B137,'Employee Database'!$A$3:$A$202,0)),"")</f>
        <v/>
      </c>
      <c r="D137" s="49" t="n"/>
      <c r="E137" s="50" t="n"/>
      <c r="F137" s="50" t="n"/>
      <c r="G137" s="36">
        <f>IF(OR(E137="",F137=""),"",NETWORKDAYS(E137,F137))</f>
        <v/>
      </c>
      <c r="H137" s="49" t="n"/>
      <c r="I137" s="49" t="n"/>
      <c r="J137" s="49" t="n"/>
      <c r="K137" s="49" t="n"/>
    </row>
    <row r="138">
      <c r="A138" s="49" t="n"/>
      <c r="B138" s="49" t="n"/>
      <c r="C138" s="36">
        <f>IFERROR(INDEX('Employee Database'!$B$3:$B$202,MATCH(B138,'Employee Database'!$A$3:$A$202,0)),"")</f>
        <v/>
      </c>
      <c r="D138" s="49" t="n"/>
      <c r="E138" s="50" t="n"/>
      <c r="F138" s="50" t="n"/>
      <c r="G138" s="36">
        <f>IF(OR(E138="",F138=""),"",NETWORKDAYS(E138,F138))</f>
        <v/>
      </c>
      <c r="H138" s="49" t="n"/>
      <c r="I138" s="49" t="n"/>
      <c r="J138" s="49" t="n"/>
      <c r="K138" s="49" t="n"/>
    </row>
    <row r="139">
      <c r="A139" s="49" t="n"/>
      <c r="B139" s="49" t="n"/>
      <c r="C139" s="36">
        <f>IFERROR(INDEX('Employee Database'!$B$3:$B$202,MATCH(B139,'Employee Database'!$A$3:$A$202,0)),"")</f>
        <v/>
      </c>
      <c r="D139" s="49" t="n"/>
      <c r="E139" s="50" t="n"/>
      <c r="F139" s="50" t="n"/>
      <c r="G139" s="36">
        <f>IF(OR(E139="",F139=""),"",NETWORKDAYS(E139,F139))</f>
        <v/>
      </c>
      <c r="H139" s="49" t="n"/>
      <c r="I139" s="49" t="n"/>
      <c r="J139" s="49" t="n"/>
      <c r="K139" s="49" t="n"/>
    </row>
    <row r="140">
      <c r="A140" s="49" t="n"/>
      <c r="B140" s="49" t="n"/>
      <c r="C140" s="36">
        <f>IFERROR(INDEX('Employee Database'!$B$3:$B$202,MATCH(B140,'Employee Database'!$A$3:$A$202,0)),"")</f>
        <v/>
      </c>
      <c r="D140" s="49" t="n"/>
      <c r="E140" s="50" t="n"/>
      <c r="F140" s="50" t="n"/>
      <c r="G140" s="36">
        <f>IF(OR(E140="",F140=""),"",NETWORKDAYS(E140,F140))</f>
        <v/>
      </c>
      <c r="H140" s="49" t="n"/>
      <c r="I140" s="49" t="n"/>
      <c r="J140" s="49" t="n"/>
      <c r="K140" s="49" t="n"/>
    </row>
    <row r="141">
      <c r="A141" s="49" t="n"/>
      <c r="B141" s="49" t="n"/>
      <c r="C141" s="36">
        <f>IFERROR(INDEX('Employee Database'!$B$3:$B$202,MATCH(B141,'Employee Database'!$A$3:$A$202,0)),"")</f>
        <v/>
      </c>
      <c r="D141" s="49" t="n"/>
      <c r="E141" s="50" t="n"/>
      <c r="F141" s="50" t="n"/>
      <c r="G141" s="36">
        <f>IF(OR(E141="",F141=""),"",NETWORKDAYS(E141,F141))</f>
        <v/>
      </c>
      <c r="H141" s="49" t="n"/>
      <c r="I141" s="49" t="n"/>
      <c r="J141" s="49" t="n"/>
      <c r="K141" s="49" t="n"/>
    </row>
    <row r="142">
      <c r="A142" s="49" t="n"/>
      <c r="B142" s="49" t="n"/>
      <c r="C142" s="36">
        <f>IFERROR(INDEX('Employee Database'!$B$3:$B$202,MATCH(B142,'Employee Database'!$A$3:$A$202,0)),"")</f>
        <v/>
      </c>
      <c r="D142" s="49" t="n"/>
      <c r="E142" s="50" t="n"/>
      <c r="F142" s="50" t="n"/>
      <c r="G142" s="36">
        <f>IF(OR(E142="",F142=""),"",NETWORKDAYS(E142,F142))</f>
        <v/>
      </c>
      <c r="H142" s="49" t="n"/>
      <c r="I142" s="49" t="n"/>
      <c r="J142" s="49" t="n"/>
      <c r="K142" s="49" t="n"/>
    </row>
    <row r="143">
      <c r="A143" s="49" t="n"/>
      <c r="B143" s="49" t="n"/>
      <c r="C143" s="36">
        <f>IFERROR(INDEX('Employee Database'!$B$3:$B$202,MATCH(B143,'Employee Database'!$A$3:$A$202,0)),"")</f>
        <v/>
      </c>
      <c r="D143" s="49" t="n"/>
      <c r="E143" s="50" t="n"/>
      <c r="F143" s="50" t="n"/>
      <c r="G143" s="36">
        <f>IF(OR(E143="",F143=""),"",NETWORKDAYS(E143,F143))</f>
        <v/>
      </c>
      <c r="H143" s="49" t="n"/>
      <c r="I143" s="49" t="n"/>
      <c r="J143" s="49" t="n"/>
      <c r="K143" s="49" t="n"/>
    </row>
    <row r="144">
      <c r="A144" s="49" t="n"/>
      <c r="B144" s="49" t="n"/>
      <c r="C144" s="36">
        <f>IFERROR(INDEX('Employee Database'!$B$3:$B$202,MATCH(B144,'Employee Database'!$A$3:$A$202,0)),"")</f>
        <v/>
      </c>
      <c r="D144" s="49" t="n"/>
      <c r="E144" s="50" t="n"/>
      <c r="F144" s="50" t="n"/>
      <c r="G144" s="36">
        <f>IF(OR(E144="",F144=""),"",NETWORKDAYS(E144,F144))</f>
        <v/>
      </c>
      <c r="H144" s="49" t="n"/>
      <c r="I144" s="49" t="n"/>
      <c r="J144" s="49" t="n"/>
      <c r="K144" s="49" t="n"/>
    </row>
    <row r="145">
      <c r="A145" s="49" t="n"/>
      <c r="B145" s="49" t="n"/>
      <c r="C145" s="36">
        <f>IFERROR(INDEX('Employee Database'!$B$3:$B$202,MATCH(B145,'Employee Database'!$A$3:$A$202,0)),"")</f>
        <v/>
      </c>
      <c r="D145" s="49" t="n"/>
      <c r="E145" s="50" t="n"/>
      <c r="F145" s="50" t="n"/>
      <c r="G145" s="36">
        <f>IF(OR(E145="",F145=""),"",NETWORKDAYS(E145,F145))</f>
        <v/>
      </c>
      <c r="H145" s="49" t="n"/>
      <c r="I145" s="49" t="n"/>
      <c r="J145" s="49" t="n"/>
      <c r="K145" s="49" t="n"/>
    </row>
    <row r="146">
      <c r="A146" s="49" t="n"/>
      <c r="B146" s="49" t="n"/>
      <c r="C146" s="36">
        <f>IFERROR(INDEX('Employee Database'!$B$3:$B$202,MATCH(B146,'Employee Database'!$A$3:$A$202,0)),"")</f>
        <v/>
      </c>
      <c r="D146" s="49" t="n"/>
      <c r="E146" s="50" t="n"/>
      <c r="F146" s="50" t="n"/>
      <c r="G146" s="36">
        <f>IF(OR(E146="",F146=""),"",NETWORKDAYS(E146,F146))</f>
        <v/>
      </c>
      <c r="H146" s="49" t="n"/>
      <c r="I146" s="49" t="n"/>
      <c r="J146" s="49" t="n"/>
      <c r="K146" s="49" t="n"/>
    </row>
    <row r="147">
      <c r="A147" s="49" t="n"/>
      <c r="B147" s="49" t="n"/>
      <c r="C147" s="36">
        <f>IFERROR(INDEX('Employee Database'!$B$3:$B$202,MATCH(B147,'Employee Database'!$A$3:$A$202,0)),"")</f>
        <v/>
      </c>
      <c r="D147" s="49" t="n"/>
      <c r="E147" s="50" t="n"/>
      <c r="F147" s="50" t="n"/>
      <c r="G147" s="36">
        <f>IF(OR(E147="",F147=""),"",NETWORKDAYS(E147,F147))</f>
        <v/>
      </c>
      <c r="H147" s="49" t="n"/>
      <c r="I147" s="49" t="n"/>
      <c r="J147" s="49" t="n"/>
      <c r="K147" s="49" t="n"/>
    </row>
    <row r="148">
      <c r="A148" s="49" t="n"/>
      <c r="B148" s="49" t="n"/>
      <c r="C148" s="36">
        <f>IFERROR(INDEX('Employee Database'!$B$3:$B$202,MATCH(B148,'Employee Database'!$A$3:$A$202,0)),"")</f>
        <v/>
      </c>
      <c r="D148" s="49" t="n"/>
      <c r="E148" s="50" t="n"/>
      <c r="F148" s="50" t="n"/>
      <c r="G148" s="36">
        <f>IF(OR(E148="",F148=""),"",NETWORKDAYS(E148,F148))</f>
        <v/>
      </c>
      <c r="H148" s="49" t="n"/>
      <c r="I148" s="49" t="n"/>
      <c r="J148" s="49" t="n"/>
      <c r="K148" s="49" t="n"/>
    </row>
    <row r="149">
      <c r="A149" s="49" t="n"/>
      <c r="B149" s="49" t="n"/>
      <c r="C149" s="36">
        <f>IFERROR(INDEX('Employee Database'!$B$3:$B$202,MATCH(B149,'Employee Database'!$A$3:$A$202,0)),"")</f>
        <v/>
      </c>
      <c r="D149" s="49" t="n"/>
      <c r="E149" s="50" t="n"/>
      <c r="F149" s="50" t="n"/>
      <c r="G149" s="36">
        <f>IF(OR(E149="",F149=""),"",NETWORKDAYS(E149,F149))</f>
        <v/>
      </c>
      <c r="H149" s="49" t="n"/>
      <c r="I149" s="49" t="n"/>
      <c r="J149" s="49" t="n"/>
      <c r="K149" s="49" t="n"/>
    </row>
    <row r="150">
      <c r="A150" s="49" t="n"/>
      <c r="B150" s="49" t="n"/>
      <c r="C150" s="36">
        <f>IFERROR(INDEX('Employee Database'!$B$3:$B$202,MATCH(B150,'Employee Database'!$A$3:$A$202,0)),"")</f>
        <v/>
      </c>
      <c r="D150" s="49" t="n"/>
      <c r="E150" s="50" t="n"/>
      <c r="F150" s="50" t="n"/>
      <c r="G150" s="36">
        <f>IF(OR(E150="",F150=""),"",NETWORKDAYS(E150,F150))</f>
        <v/>
      </c>
      <c r="H150" s="49" t="n"/>
      <c r="I150" s="49" t="n"/>
      <c r="J150" s="49" t="n"/>
      <c r="K150" s="49" t="n"/>
    </row>
    <row r="151">
      <c r="A151" s="49" t="n"/>
      <c r="B151" s="49" t="n"/>
      <c r="C151" s="36">
        <f>IFERROR(INDEX('Employee Database'!$B$3:$B$202,MATCH(B151,'Employee Database'!$A$3:$A$202,0)),"")</f>
        <v/>
      </c>
      <c r="D151" s="49" t="n"/>
      <c r="E151" s="50" t="n"/>
      <c r="F151" s="50" t="n"/>
      <c r="G151" s="36">
        <f>IF(OR(E151="",F151=""),"",NETWORKDAYS(E151,F151))</f>
        <v/>
      </c>
      <c r="H151" s="49" t="n"/>
      <c r="I151" s="49" t="n"/>
      <c r="J151" s="49" t="n"/>
      <c r="K151" s="49" t="n"/>
    </row>
    <row r="152">
      <c r="A152" s="49" t="n"/>
      <c r="B152" s="49" t="n"/>
      <c r="C152" s="36">
        <f>IFERROR(INDEX('Employee Database'!$B$3:$B$202,MATCH(B152,'Employee Database'!$A$3:$A$202,0)),"")</f>
        <v/>
      </c>
      <c r="D152" s="49" t="n"/>
      <c r="E152" s="50" t="n"/>
      <c r="F152" s="50" t="n"/>
      <c r="G152" s="36">
        <f>IF(OR(E152="",F152=""),"",NETWORKDAYS(E152,F152))</f>
        <v/>
      </c>
      <c r="H152" s="49" t="n"/>
      <c r="I152" s="49" t="n"/>
      <c r="J152" s="49" t="n"/>
      <c r="K152" s="49" t="n"/>
    </row>
    <row r="153">
      <c r="A153" s="49" t="n"/>
      <c r="B153" s="49" t="n"/>
      <c r="C153" s="36">
        <f>IFERROR(INDEX('Employee Database'!$B$3:$B$202,MATCH(B153,'Employee Database'!$A$3:$A$202,0)),"")</f>
        <v/>
      </c>
      <c r="D153" s="49" t="n"/>
      <c r="E153" s="50" t="n"/>
      <c r="F153" s="50" t="n"/>
      <c r="G153" s="36">
        <f>IF(OR(E153="",F153=""),"",NETWORKDAYS(E153,F153))</f>
        <v/>
      </c>
      <c r="H153" s="49" t="n"/>
      <c r="I153" s="49" t="n"/>
      <c r="J153" s="49" t="n"/>
      <c r="K153" s="49" t="n"/>
    </row>
    <row r="154">
      <c r="A154" s="49" t="n"/>
      <c r="B154" s="49" t="n"/>
      <c r="C154" s="36">
        <f>IFERROR(INDEX('Employee Database'!$B$3:$B$202,MATCH(B154,'Employee Database'!$A$3:$A$202,0)),"")</f>
        <v/>
      </c>
      <c r="D154" s="49" t="n"/>
      <c r="E154" s="50" t="n"/>
      <c r="F154" s="50" t="n"/>
      <c r="G154" s="36">
        <f>IF(OR(E154="",F154=""),"",NETWORKDAYS(E154,F154))</f>
        <v/>
      </c>
      <c r="H154" s="49" t="n"/>
      <c r="I154" s="49" t="n"/>
      <c r="J154" s="49" t="n"/>
      <c r="K154" s="49" t="n"/>
    </row>
    <row r="155">
      <c r="A155" s="49" t="n"/>
      <c r="B155" s="49" t="n"/>
      <c r="C155" s="36">
        <f>IFERROR(INDEX('Employee Database'!$B$3:$B$202,MATCH(B155,'Employee Database'!$A$3:$A$202,0)),"")</f>
        <v/>
      </c>
      <c r="D155" s="49" t="n"/>
      <c r="E155" s="50" t="n"/>
      <c r="F155" s="50" t="n"/>
      <c r="G155" s="36">
        <f>IF(OR(E155="",F155=""),"",NETWORKDAYS(E155,F155))</f>
        <v/>
      </c>
      <c r="H155" s="49" t="n"/>
      <c r="I155" s="49" t="n"/>
      <c r="J155" s="49" t="n"/>
      <c r="K155" s="49" t="n"/>
    </row>
    <row r="156">
      <c r="A156" s="49" t="n"/>
      <c r="B156" s="49" t="n"/>
      <c r="C156" s="36">
        <f>IFERROR(INDEX('Employee Database'!$B$3:$B$202,MATCH(B156,'Employee Database'!$A$3:$A$202,0)),"")</f>
        <v/>
      </c>
      <c r="D156" s="49" t="n"/>
      <c r="E156" s="50" t="n"/>
      <c r="F156" s="50" t="n"/>
      <c r="G156" s="36">
        <f>IF(OR(E156="",F156=""),"",NETWORKDAYS(E156,F156))</f>
        <v/>
      </c>
      <c r="H156" s="49" t="n"/>
      <c r="I156" s="49" t="n"/>
      <c r="J156" s="49" t="n"/>
      <c r="K156" s="49" t="n"/>
    </row>
    <row r="157">
      <c r="A157" s="49" t="n"/>
      <c r="B157" s="49" t="n"/>
      <c r="C157" s="36">
        <f>IFERROR(INDEX('Employee Database'!$B$3:$B$202,MATCH(B157,'Employee Database'!$A$3:$A$202,0)),"")</f>
        <v/>
      </c>
      <c r="D157" s="49" t="n"/>
      <c r="E157" s="50" t="n"/>
      <c r="F157" s="50" t="n"/>
      <c r="G157" s="36">
        <f>IF(OR(E157="",F157=""),"",NETWORKDAYS(E157,F157))</f>
        <v/>
      </c>
      <c r="H157" s="49" t="n"/>
      <c r="I157" s="49" t="n"/>
      <c r="J157" s="49" t="n"/>
      <c r="K157" s="49" t="n"/>
    </row>
    <row r="158">
      <c r="A158" s="49" t="n"/>
      <c r="B158" s="49" t="n"/>
      <c r="C158" s="36">
        <f>IFERROR(INDEX('Employee Database'!$B$3:$B$202,MATCH(B158,'Employee Database'!$A$3:$A$202,0)),"")</f>
        <v/>
      </c>
      <c r="D158" s="49" t="n"/>
      <c r="E158" s="50" t="n"/>
      <c r="F158" s="50" t="n"/>
      <c r="G158" s="36">
        <f>IF(OR(E158="",F158=""),"",NETWORKDAYS(E158,F158))</f>
        <v/>
      </c>
      <c r="H158" s="49" t="n"/>
      <c r="I158" s="49" t="n"/>
      <c r="J158" s="49" t="n"/>
      <c r="K158" s="49" t="n"/>
    </row>
    <row r="159">
      <c r="A159" s="49" t="n"/>
      <c r="B159" s="49" t="n"/>
      <c r="C159" s="36">
        <f>IFERROR(INDEX('Employee Database'!$B$3:$B$202,MATCH(B159,'Employee Database'!$A$3:$A$202,0)),"")</f>
        <v/>
      </c>
      <c r="D159" s="49" t="n"/>
      <c r="E159" s="50" t="n"/>
      <c r="F159" s="50" t="n"/>
      <c r="G159" s="36">
        <f>IF(OR(E159="",F159=""),"",NETWORKDAYS(E159,F159))</f>
        <v/>
      </c>
      <c r="H159" s="49" t="n"/>
      <c r="I159" s="49" t="n"/>
      <c r="J159" s="49" t="n"/>
      <c r="K159" s="49" t="n"/>
    </row>
    <row r="160">
      <c r="A160" s="49" t="n"/>
      <c r="B160" s="49" t="n"/>
      <c r="C160" s="36">
        <f>IFERROR(INDEX('Employee Database'!$B$3:$B$202,MATCH(B160,'Employee Database'!$A$3:$A$202,0)),"")</f>
        <v/>
      </c>
      <c r="D160" s="49" t="n"/>
      <c r="E160" s="50" t="n"/>
      <c r="F160" s="50" t="n"/>
      <c r="G160" s="36">
        <f>IF(OR(E160="",F160=""),"",NETWORKDAYS(E160,F160))</f>
        <v/>
      </c>
      <c r="H160" s="49" t="n"/>
      <c r="I160" s="49" t="n"/>
      <c r="J160" s="49" t="n"/>
      <c r="K160" s="49" t="n"/>
    </row>
    <row r="161">
      <c r="A161" s="49" t="n"/>
      <c r="B161" s="49" t="n"/>
      <c r="C161" s="36">
        <f>IFERROR(INDEX('Employee Database'!$B$3:$B$202,MATCH(B161,'Employee Database'!$A$3:$A$202,0)),"")</f>
        <v/>
      </c>
      <c r="D161" s="49" t="n"/>
      <c r="E161" s="50" t="n"/>
      <c r="F161" s="50" t="n"/>
      <c r="G161" s="36">
        <f>IF(OR(E161="",F161=""),"",NETWORKDAYS(E161,F161))</f>
        <v/>
      </c>
      <c r="H161" s="49" t="n"/>
      <c r="I161" s="49" t="n"/>
      <c r="J161" s="49" t="n"/>
      <c r="K161" s="49" t="n"/>
    </row>
    <row r="162">
      <c r="A162" s="49" t="n"/>
      <c r="B162" s="49" t="n"/>
      <c r="C162" s="36">
        <f>IFERROR(INDEX('Employee Database'!$B$3:$B$202,MATCH(B162,'Employee Database'!$A$3:$A$202,0)),"")</f>
        <v/>
      </c>
      <c r="D162" s="49" t="n"/>
      <c r="E162" s="50" t="n"/>
      <c r="F162" s="50" t="n"/>
      <c r="G162" s="36">
        <f>IF(OR(E162="",F162=""),"",NETWORKDAYS(E162,F162))</f>
        <v/>
      </c>
      <c r="H162" s="49" t="n"/>
      <c r="I162" s="49" t="n"/>
      <c r="J162" s="49" t="n"/>
      <c r="K162" s="49" t="n"/>
    </row>
    <row r="163">
      <c r="A163" s="49" t="n"/>
      <c r="B163" s="49" t="n"/>
      <c r="C163" s="36">
        <f>IFERROR(INDEX('Employee Database'!$B$3:$B$202,MATCH(B163,'Employee Database'!$A$3:$A$202,0)),"")</f>
        <v/>
      </c>
      <c r="D163" s="49" t="n"/>
      <c r="E163" s="50" t="n"/>
      <c r="F163" s="50" t="n"/>
      <c r="G163" s="36">
        <f>IF(OR(E163="",F163=""),"",NETWORKDAYS(E163,F163))</f>
        <v/>
      </c>
      <c r="H163" s="49" t="n"/>
      <c r="I163" s="49" t="n"/>
      <c r="J163" s="49" t="n"/>
      <c r="K163" s="49" t="n"/>
    </row>
    <row r="164">
      <c r="A164" s="49" t="n"/>
      <c r="B164" s="49" t="n"/>
      <c r="C164" s="36">
        <f>IFERROR(INDEX('Employee Database'!$B$3:$B$202,MATCH(B164,'Employee Database'!$A$3:$A$202,0)),"")</f>
        <v/>
      </c>
      <c r="D164" s="49" t="n"/>
      <c r="E164" s="50" t="n"/>
      <c r="F164" s="50" t="n"/>
      <c r="G164" s="36">
        <f>IF(OR(E164="",F164=""),"",NETWORKDAYS(E164,F164))</f>
        <v/>
      </c>
      <c r="H164" s="49" t="n"/>
      <c r="I164" s="49" t="n"/>
      <c r="J164" s="49" t="n"/>
      <c r="K164" s="49" t="n"/>
    </row>
    <row r="165">
      <c r="A165" s="49" t="n"/>
      <c r="B165" s="49" t="n"/>
      <c r="C165" s="36">
        <f>IFERROR(INDEX('Employee Database'!$B$3:$B$202,MATCH(B165,'Employee Database'!$A$3:$A$202,0)),"")</f>
        <v/>
      </c>
      <c r="D165" s="49" t="n"/>
      <c r="E165" s="50" t="n"/>
      <c r="F165" s="50" t="n"/>
      <c r="G165" s="36">
        <f>IF(OR(E165="",F165=""),"",NETWORKDAYS(E165,F165))</f>
        <v/>
      </c>
      <c r="H165" s="49" t="n"/>
      <c r="I165" s="49" t="n"/>
      <c r="J165" s="49" t="n"/>
      <c r="K165" s="49" t="n"/>
    </row>
    <row r="166">
      <c r="A166" s="49" t="n"/>
      <c r="B166" s="49" t="n"/>
      <c r="C166" s="36">
        <f>IFERROR(INDEX('Employee Database'!$B$3:$B$202,MATCH(B166,'Employee Database'!$A$3:$A$202,0)),"")</f>
        <v/>
      </c>
      <c r="D166" s="49" t="n"/>
      <c r="E166" s="50" t="n"/>
      <c r="F166" s="50" t="n"/>
      <c r="G166" s="36">
        <f>IF(OR(E166="",F166=""),"",NETWORKDAYS(E166,F166))</f>
        <v/>
      </c>
      <c r="H166" s="49" t="n"/>
      <c r="I166" s="49" t="n"/>
      <c r="J166" s="49" t="n"/>
      <c r="K166" s="49" t="n"/>
    </row>
    <row r="167">
      <c r="A167" s="49" t="n"/>
      <c r="B167" s="49" t="n"/>
      <c r="C167" s="36">
        <f>IFERROR(INDEX('Employee Database'!$B$3:$B$202,MATCH(B167,'Employee Database'!$A$3:$A$202,0)),"")</f>
        <v/>
      </c>
      <c r="D167" s="49" t="n"/>
      <c r="E167" s="50" t="n"/>
      <c r="F167" s="50" t="n"/>
      <c r="G167" s="36">
        <f>IF(OR(E167="",F167=""),"",NETWORKDAYS(E167,F167))</f>
        <v/>
      </c>
      <c r="H167" s="49" t="n"/>
      <c r="I167" s="49" t="n"/>
      <c r="J167" s="49" t="n"/>
      <c r="K167" s="49" t="n"/>
    </row>
    <row r="168">
      <c r="A168" s="49" t="n"/>
      <c r="B168" s="49" t="n"/>
      <c r="C168" s="36">
        <f>IFERROR(INDEX('Employee Database'!$B$3:$B$202,MATCH(B168,'Employee Database'!$A$3:$A$202,0)),"")</f>
        <v/>
      </c>
      <c r="D168" s="49" t="n"/>
      <c r="E168" s="50" t="n"/>
      <c r="F168" s="50" t="n"/>
      <c r="G168" s="36">
        <f>IF(OR(E168="",F168=""),"",NETWORKDAYS(E168,F168))</f>
        <v/>
      </c>
      <c r="H168" s="49" t="n"/>
      <c r="I168" s="49" t="n"/>
      <c r="J168" s="49" t="n"/>
      <c r="K168" s="49" t="n"/>
    </row>
    <row r="169">
      <c r="A169" s="49" t="n"/>
      <c r="B169" s="49" t="n"/>
      <c r="C169" s="36">
        <f>IFERROR(INDEX('Employee Database'!$B$3:$B$202,MATCH(B169,'Employee Database'!$A$3:$A$202,0)),"")</f>
        <v/>
      </c>
      <c r="D169" s="49" t="n"/>
      <c r="E169" s="50" t="n"/>
      <c r="F169" s="50" t="n"/>
      <c r="G169" s="36">
        <f>IF(OR(E169="",F169=""),"",NETWORKDAYS(E169,F169))</f>
        <v/>
      </c>
      <c r="H169" s="49" t="n"/>
      <c r="I169" s="49" t="n"/>
      <c r="J169" s="49" t="n"/>
      <c r="K169" s="49" t="n"/>
    </row>
    <row r="170">
      <c r="A170" s="49" t="n"/>
      <c r="B170" s="49" t="n"/>
      <c r="C170" s="36">
        <f>IFERROR(INDEX('Employee Database'!$B$3:$B$202,MATCH(B170,'Employee Database'!$A$3:$A$202,0)),"")</f>
        <v/>
      </c>
      <c r="D170" s="49" t="n"/>
      <c r="E170" s="50" t="n"/>
      <c r="F170" s="50" t="n"/>
      <c r="G170" s="36">
        <f>IF(OR(E170="",F170=""),"",NETWORKDAYS(E170,F170))</f>
        <v/>
      </c>
      <c r="H170" s="49" t="n"/>
      <c r="I170" s="49" t="n"/>
      <c r="J170" s="49" t="n"/>
      <c r="K170" s="49" t="n"/>
    </row>
    <row r="171">
      <c r="A171" s="49" t="n"/>
      <c r="B171" s="49" t="n"/>
      <c r="C171" s="36">
        <f>IFERROR(INDEX('Employee Database'!$B$3:$B$202,MATCH(B171,'Employee Database'!$A$3:$A$202,0)),"")</f>
        <v/>
      </c>
      <c r="D171" s="49" t="n"/>
      <c r="E171" s="50" t="n"/>
      <c r="F171" s="50" t="n"/>
      <c r="G171" s="36">
        <f>IF(OR(E171="",F171=""),"",NETWORKDAYS(E171,F171))</f>
        <v/>
      </c>
      <c r="H171" s="49" t="n"/>
      <c r="I171" s="49" t="n"/>
      <c r="J171" s="49" t="n"/>
      <c r="K171" s="49" t="n"/>
    </row>
    <row r="172">
      <c r="A172" s="49" t="n"/>
      <c r="B172" s="49" t="n"/>
      <c r="C172" s="36">
        <f>IFERROR(INDEX('Employee Database'!$B$3:$B$202,MATCH(B172,'Employee Database'!$A$3:$A$202,0)),"")</f>
        <v/>
      </c>
      <c r="D172" s="49" t="n"/>
      <c r="E172" s="50" t="n"/>
      <c r="F172" s="50" t="n"/>
      <c r="G172" s="36">
        <f>IF(OR(E172="",F172=""),"",NETWORKDAYS(E172,F172))</f>
        <v/>
      </c>
      <c r="H172" s="49" t="n"/>
      <c r="I172" s="49" t="n"/>
      <c r="J172" s="49" t="n"/>
      <c r="K172" s="49" t="n"/>
    </row>
    <row r="173">
      <c r="A173" s="49" t="n"/>
      <c r="B173" s="49" t="n"/>
      <c r="C173" s="36">
        <f>IFERROR(INDEX('Employee Database'!$B$3:$B$202,MATCH(B173,'Employee Database'!$A$3:$A$202,0)),"")</f>
        <v/>
      </c>
      <c r="D173" s="49" t="n"/>
      <c r="E173" s="50" t="n"/>
      <c r="F173" s="50" t="n"/>
      <c r="G173" s="36">
        <f>IF(OR(E173="",F173=""),"",NETWORKDAYS(E173,F173))</f>
        <v/>
      </c>
      <c r="H173" s="49" t="n"/>
      <c r="I173" s="49" t="n"/>
      <c r="J173" s="49" t="n"/>
      <c r="K173" s="49" t="n"/>
    </row>
    <row r="174">
      <c r="A174" s="49" t="n"/>
      <c r="B174" s="49" t="n"/>
      <c r="C174" s="36">
        <f>IFERROR(INDEX('Employee Database'!$B$3:$B$202,MATCH(B174,'Employee Database'!$A$3:$A$202,0)),"")</f>
        <v/>
      </c>
      <c r="D174" s="49" t="n"/>
      <c r="E174" s="50" t="n"/>
      <c r="F174" s="50" t="n"/>
      <c r="G174" s="36">
        <f>IF(OR(E174="",F174=""),"",NETWORKDAYS(E174,F174))</f>
        <v/>
      </c>
      <c r="H174" s="49" t="n"/>
      <c r="I174" s="49" t="n"/>
      <c r="J174" s="49" t="n"/>
      <c r="K174" s="49" t="n"/>
    </row>
    <row r="175">
      <c r="A175" s="49" t="n"/>
      <c r="B175" s="49" t="n"/>
      <c r="C175" s="36">
        <f>IFERROR(INDEX('Employee Database'!$B$3:$B$202,MATCH(B175,'Employee Database'!$A$3:$A$202,0)),"")</f>
        <v/>
      </c>
      <c r="D175" s="49" t="n"/>
      <c r="E175" s="50" t="n"/>
      <c r="F175" s="50" t="n"/>
      <c r="G175" s="36">
        <f>IF(OR(E175="",F175=""),"",NETWORKDAYS(E175,F175))</f>
        <v/>
      </c>
      <c r="H175" s="49" t="n"/>
      <c r="I175" s="49" t="n"/>
      <c r="J175" s="49" t="n"/>
      <c r="K175" s="49" t="n"/>
    </row>
    <row r="176">
      <c r="A176" s="49" t="n"/>
      <c r="B176" s="49" t="n"/>
      <c r="C176" s="36">
        <f>IFERROR(INDEX('Employee Database'!$B$3:$B$202,MATCH(B176,'Employee Database'!$A$3:$A$202,0)),"")</f>
        <v/>
      </c>
      <c r="D176" s="49" t="n"/>
      <c r="E176" s="50" t="n"/>
      <c r="F176" s="50" t="n"/>
      <c r="G176" s="36">
        <f>IF(OR(E176="",F176=""),"",NETWORKDAYS(E176,F176))</f>
        <v/>
      </c>
      <c r="H176" s="49" t="n"/>
      <c r="I176" s="49" t="n"/>
      <c r="J176" s="49" t="n"/>
      <c r="K176" s="49" t="n"/>
    </row>
    <row r="177">
      <c r="A177" s="49" t="n"/>
      <c r="B177" s="49" t="n"/>
      <c r="C177" s="36">
        <f>IFERROR(INDEX('Employee Database'!$B$3:$B$202,MATCH(B177,'Employee Database'!$A$3:$A$202,0)),"")</f>
        <v/>
      </c>
      <c r="D177" s="49" t="n"/>
      <c r="E177" s="50" t="n"/>
      <c r="F177" s="50" t="n"/>
      <c r="G177" s="36">
        <f>IF(OR(E177="",F177=""),"",NETWORKDAYS(E177,F177))</f>
        <v/>
      </c>
      <c r="H177" s="49" t="n"/>
      <c r="I177" s="49" t="n"/>
      <c r="J177" s="49" t="n"/>
      <c r="K177" s="49" t="n"/>
    </row>
    <row r="178">
      <c r="A178" s="49" t="n"/>
      <c r="B178" s="49" t="n"/>
      <c r="C178" s="36">
        <f>IFERROR(INDEX('Employee Database'!$B$3:$B$202,MATCH(B178,'Employee Database'!$A$3:$A$202,0)),"")</f>
        <v/>
      </c>
      <c r="D178" s="49" t="n"/>
      <c r="E178" s="50" t="n"/>
      <c r="F178" s="50" t="n"/>
      <c r="G178" s="36">
        <f>IF(OR(E178="",F178=""),"",NETWORKDAYS(E178,F178))</f>
        <v/>
      </c>
      <c r="H178" s="49" t="n"/>
      <c r="I178" s="49" t="n"/>
      <c r="J178" s="49" t="n"/>
      <c r="K178" s="49" t="n"/>
    </row>
    <row r="179">
      <c r="A179" s="49" t="n"/>
      <c r="B179" s="49" t="n"/>
      <c r="C179" s="36">
        <f>IFERROR(INDEX('Employee Database'!$B$3:$B$202,MATCH(B179,'Employee Database'!$A$3:$A$202,0)),"")</f>
        <v/>
      </c>
      <c r="D179" s="49" t="n"/>
      <c r="E179" s="50" t="n"/>
      <c r="F179" s="50" t="n"/>
      <c r="G179" s="36">
        <f>IF(OR(E179="",F179=""),"",NETWORKDAYS(E179,F179))</f>
        <v/>
      </c>
      <c r="H179" s="49" t="n"/>
      <c r="I179" s="49" t="n"/>
      <c r="J179" s="49" t="n"/>
      <c r="K179" s="49" t="n"/>
    </row>
    <row r="180">
      <c r="A180" s="49" t="n"/>
      <c r="B180" s="49" t="n"/>
      <c r="C180" s="36">
        <f>IFERROR(INDEX('Employee Database'!$B$3:$B$202,MATCH(B180,'Employee Database'!$A$3:$A$202,0)),"")</f>
        <v/>
      </c>
      <c r="D180" s="49" t="n"/>
      <c r="E180" s="50" t="n"/>
      <c r="F180" s="50" t="n"/>
      <c r="G180" s="36">
        <f>IF(OR(E180="",F180=""),"",NETWORKDAYS(E180,F180))</f>
        <v/>
      </c>
      <c r="H180" s="49" t="n"/>
      <c r="I180" s="49" t="n"/>
      <c r="J180" s="49" t="n"/>
      <c r="K180" s="49" t="n"/>
    </row>
    <row r="181">
      <c r="A181" s="49" t="n"/>
      <c r="B181" s="49" t="n"/>
      <c r="C181" s="36">
        <f>IFERROR(INDEX('Employee Database'!$B$3:$B$202,MATCH(B181,'Employee Database'!$A$3:$A$202,0)),"")</f>
        <v/>
      </c>
      <c r="D181" s="49" t="n"/>
      <c r="E181" s="50" t="n"/>
      <c r="F181" s="50" t="n"/>
      <c r="G181" s="36">
        <f>IF(OR(E181="",F181=""),"",NETWORKDAYS(E181,F181))</f>
        <v/>
      </c>
      <c r="H181" s="49" t="n"/>
      <c r="I181" s="49" t="n"/>
      <c r="J181" s="49" t="n"/>
      <c r="K181" s="49" t="n"/>
    </row>
    <row r="182">
      <c r="A182" s="49" t="n"/>
      <c r="B182" s="49" t="n"/>
      <c r="C182" s="36">
        <f>IFERROR(INDEX('Employee Database'!$B$3:$B$202,MATCH(B182,'Employee Database'!$A$3:$A$202,0)),"")</f>
        <v/>
      </c>
      <c r="D182" s="49" t="n"/>
      <c r="E182" s="50" t="n"/>
      <c r="F182" s="50" t="n"/>
      <c r="G182" s="36">
        <f>IF(OR(E182="",F182=""),"",NETWORKDAYS(E182,F182))</f>
        <v/>
      </c>
      <c r="H182" s="49" t="n"/>
      <c r="I182" s="49" t="n"/>
      <c r="J182" s="49" t="n"/>
      <c r="K182" s="49" t="n"/>
    </row>
    <row r="183">
      <c r="A183" s="49" t="n"/>
      <c r="B183" s="49" t="n"/>
      <c r="C183" s="36">
        <f>IFERROR(INDEX('Employee Database'!$B$3:$B$202,MATCH(B183,'Employee Database'!$A$3:$A$202,0)),"")</f>
        <v/>
      </c>
      <c r="D183" s="49" t="n"/>
      <c r="E183" s="50" t="n"/>
      <c r="F183" s="50" t="n"/>
      <c r="G183" s="36">
        <f>IF(OR(E183="",F183=""),"",NETWORKDAYS(E183,F183))</f>
        <v/>
      </c>
      <c r="H183" s="49" t="n"/>
      <c r="I183" s="49" t="n"/>
      <c r="J183" s="49" t="n"/>
      <c r="K183" s="49" t="n"/>
    </row>
    <row r="184">
      <c r="A184" s="49" t="n"/>
      <c r="B184" s="49" t="n"/>
      <c r="C184" s="36">
        <f>IFERROR(INDEX('Employee Database'!$B$3:$B$202,MATCH(B184,'Employee Database'!$A$3:$A$202,0)),"")</f>
        <v/>
      </c>
      <c r="D184" s="49" t="n"/>
      <c r="E184" s="50" t="n"/>
      <c r="F184" s="50" t="n"/>
      <c r="G184" s="36">
        <f>IF(OR(E184="",F184=""),"",NETWORKDAYS(E184,F184))</f>
        <v/>
      </c>
      <c r="H184" s="49" t="n"/>
      <c r="I184" s="49" t="n"/>
      <c r="J184" s="49" t="n"/>
      <c r="K184" s="49" t="n"/>
    </row>
    <row r="185">
      <c r="A185" s="49" t="n"/>
      <c r="B185" s="49" t="n"/>
      <c r="C185" s="36">
        <f>IFERROR(INDEX('Employee Database'!$B$3:$B$202,MATCH(B185,'Employee Database'!$A$3:$A$202,0)),"")</f>
        <v/>
      </c>
      <c r="D185" s="49" t="n"/>
      <c r="E185" s="50" t="n"/>
      <c r="F185" s="50" t="n"/>
      <c r="G185" s="36">
        <f>IF(OR(E185="",F185=""),"",NETWORKDAYS(E185,F185))</f>
        <v/>
      </c>
      <c r="H185" s="49" t="n"/>
      <c r="I185" s="49" t="n"/>
      <c r="J185" s="49" t="n"/>
      <c r="K185" s="49" t="n"/>
    </row>
    <row r="186">
      <c r="A186" s="49" t="n"/>
      <c r="B186" s="49" t="n"/>
      <c r="C186" s="36">
        <f>IFERROR(INDEX('Employee Database'!$B$3:$B$202,MATCH(B186,'Employee Database'!$A$3:$A$202,0)),"")</f>
        <v/>
      </c>
      <c r="D186" s="49" t="n"/>
      <c r="E186" s="50" t="n"/>
      <c r="F186" s="50" t="n"/>
      <c r="G186" s="36">
        <f>IF(OR(E186="",F186=""),"",NETWORKDAYS(E186,F186))</f>
        <v/>
      </c>
      <c r="H186" s="49" t="n"/>
      <c r="I186" s="49" t="n"/>
      <c r="J186" s="49" t="n"/>
      <c r="K186" s="49" t="n"/>
    </row>
    <row r="187">
      <c r="A187" s="49" t="n"/>
      <c r="B187" s="49" t="n"/>
      <c r="C187" s="36">
        <f>IFERROR(INDEX('Employee Database'!$B$3:$B$202,MATCH(B187,'Employee Database'!$A$3:$A$202,0)),"")</f>
        <v/>
      </c>
      <c r="D187" s="49" t="n"/>
      <c r="E187" s="50" t="n"/>
      <c r="F187" s="50" t="n"/>
      <c r="G187" s="36">
        <f>IF(OR(E187="",F187=""),"",NETWORKDAYS(E187,F187))</f>
        <v/>
      </c>
      <c r="H187" s="49" t="n"/>
      <c r="I187" s="49" t="n"/>
      <c r="J187" s="49" t="n"/>
      <c r="K187" s="49" t="n"/>
    </row>
    <row r="188">
      <c r="A188" s="49" t="n"/>
      <c r="B188" s="49" t="n"/>
      <c r="C188" s="36">
        <f>IFERROR(INDEX('Employee Database'!$B$3:$B$202,MATCH(B188,'Employee Database'!$A$3:$A$202,0)),"")</f>
        <v/>
      </c>
      <c r="D188" s="49" t="n"/>
      <c r="E188" s="50" t="n"/>
      <c r="F188" s="50" t="n"/>
      <c r="G188" s="36">
        <f>IF(OR(E188="",F188=""),"",NETWORKDAYS(E188,F188))</f>
        <v/>
      </c>
      <c r="H188" s="49" t="n"/>
      <c r="I188" s="49" t="n"/>
      <c r="J188" s="49" t="n"/>
      <c r="K188" s="49" t="n"/>
    </row>
    <row r="189">
      <c r="A189" s="49" t="n"/>
      <c r="B189" s="49" t="n"/>
      <c r="C189" s="36">
        <f>IFERROR(INDEX('Employee Database'!$B$3:$B$202,MATCH(B189,'Employee Database'!$A$3:$A$202,0)),"")</f>
        <v/>
      </c>
      <c r="D189" s="49" t="n"/>
      <c r="E189" s="50" t="n"/>
      <c r="F189" s="50" t="n"/>
      <c r="G189" s="36">
        <f>IF(OR(E189="",F189=""),"",NETWORKDAYS(E189,F189))</f>
        <v/>
      </c>
      <c r="H189" s="49" t="n"/>
      <c r="I189" s="49" t="n"/>
      <c r="J189" s="49" t="n"/>
      <c r="K189" s="49" t="n"/>
    </row>
    <row r="190">
      <c r="A190" s="49" t="n"/>
      <c r="B190" s="49" t="n"/>
      <c r="C190" s="36">
        <f>IFERROR(INDEX('Employee Database'!$B$3:$B$202,MATCH(B190,'Employee Database'!$A$3:$A$202,0)),"")</f>
        <v/>
      </c>
      <c r="D190" s="49" t="n"/>
      <c r="E190" s="50" t="n"/>
      <c r="F190" s="50" t="n"/>
      <c r="G190" s="36">
        <f>IF(OR(E190="",F190=""),"",NETWORKDAYS(E190,F190))</f>
        <v/>
      </c>
      <c r="H190" s="49" t="n"/>
      <c r="I190" s="49" t="n"/>
      <c r="J190" s="49" t="n"/>
      <c r="K190" s="49" t="n"/>
    </row>
    <row r="191">
      <c r="A191" s="49" t="n"/>
      <c r="B191" s="49" t="n"/>
      <c r="C191" s="36">
        <f>IFERROR(INDEX('Employee Database'!$B$3:$B$202,MATCH(B191,'Employee Database'!$A$3:$A$202,0)),"")</f>
        <v/>
      </c>
      <c r="D191" s="49" t="n"/>
      <c r="E191" s="50" t="n"/>
      <c r="F191" s="50" t="n"/>
      <c r="G191" s="36">
        <f>IF(OR(E191="",F191=""),"",NETWORKDAYS(E191,F191))</f>
        <v/>
      </c>
      <c r="H191" s="49" t="n"/>
      <c r="I191" s="49" t="n"/>
      <c r="J191" s="49" t="n"/>
      <c r="K191" s="49" t="n"/>
    </row>
    <row r="192">
      <c r="A192" s="49" t="n"/>
      <c r="B192" s="49" t="n"/>
      <c r="C192" s="36">
        <f>IFERROR(INDEX('Employee Database'!$B$3:$B$202,MATCH(B192,'Employee Database'!$A$3:$A$202,0)),"")</f>
        <v/>
      </c>
      <c r="D192" s="49" t="n"/>
      <c r="E192" s="50" t="n"/>
      <c r="F192" s="50" t="n"/>
      <c r="G192" s="36">
        <f>IF(OR(E192="",F192=""),"",NETWORKDAYS(E192,F192))</f>
        <v/>
      </c>
      <c r="H192" s="49" t="n"/>
      <c r="I192" s="49" t="n"/>
      <c r="J192" s="49" t="n"/>
      <c r="K192" s="49" t="n"/>
    </row>
    <row r="193">
      <c r="A193" s="49" t="n"/>
      <c r="B193" s="49" t="n"/>
      <c r="C193" s="36">
        <f>IFERROR(INDEX('Employee Database'!$B$3:$B$202,MATCH(B193,'Employee Database'!$A$3:$A$202,0)),"")</f>
        <v/>
      </c>
      <c r="D193" s="49" t="n"/>
      <c r="E193" s="50" t="n"/>
      <c r="F193" s="50" t="n"/>
      <c r="G193" s="36">
        <f>IF(OR(E193="",F193=""),"",NETWORKDAYS(E193,F193))</f>
        <v/>
      </c>
      <c r="H193" s="49" t="n"/>
      <c r="I193" s="49" t="n"/>
      <c r="J193" s="49" t="n"/>
      <c r="K193" s="49" t="n"/>
    </row>
    <row r="194">
      <c r="A194" s="49" t="n"/>
      <c r="B194" s="49" t="n"/>
      <c r="C194" s="36">
        <f>IFERROR(INDEX('Employee Database'!$B$3:$B$202,MATCH(B194,'Employee Database'!$A$3:$A$202,0)),"")</f>
        <v/>
      </c>
      <c r="D194" s="49" t="n"/>
      <c r="E194" s="50" t="n"/>
      <c r="F194" s="50" t="n"/>
      <c r="G194" s="36">
        <f>IF(OR(E194="",F194=""),"",NETWORKDAYS(E194,F194))</f>
        <v/>
      </c>
      <c r="H194" s="49" t="n"/>
      <c r="I194" s="49" t="n"/>
      <c r="J194" s="49" t="n"/>
      <c r="K194" s="49" t="n"/>
    </row>
    <row r="195">
      <c r="A195" s="49" t="n"/>
      <c r="B195" s="49" t="n"/>
      <c r="C195" s="36">
        <f>IFERROR(INDEX('Employee Database'!$B$3:$B$202,MATCH(B195,'Employee Database'!$A$3:$A$202,0)),"")</f>
        <v/>
      </c>
      <c r="D195" s="49" t="n"/>
      <c r="E195" s="50" t="n"/>
      <c r="F195" s="50" t="n"/>
      <c r="G195" s="36">
        <f>IF(OR(E195="",F195=""),"",NETWORKDAYS(E195,F195))</f>
        <v/>
      </c>
      <c r="H195" s="49" t="n"/>
      <c r="I195" s="49" t="n"/>
      <c r="J195" s="49" t="n"/>
      <c r="K195" s="49" t="n"/>
    </row>
    <row r="196">
      <c r="A196" s="49" t="n"/>
      <c r="B196" s="49" t="n"/>
      <c r="C196" s="36">
        <f>IFERROR(INDEX('Employee Database'!$B$3:$B$202,MATCH(B196,'Employee Database'!$A$3:$A$202,0)),"")</f>
        <v/>
      </c>
      <c r="D196" s="49" t="n"/>
      <c r="E196" s="50" t="n"/>
      <c r="F196" s="50" t="n"/>
      <c r="G196" s="36">
        <f>IF(OR(E196="",F196=""),"",NETWORKDAYS(E196,F196))</f>
        <v/>
      </c>
      <c r="H196" s="49" t="n"/>
      <c r="I196" s="49" t="n"/>
      <c r="J196" s="49" t="n"/>
      <c r="K196" s="49" t="n"/>
    </row>
    <row r="197">
      <c r="A197" s="49" t="n"/>
      <c r="B197" s="49" t="n"/>
      <c r="C197" s="36">
        <f>IFERROR(INDEX('Employee Database'!$B$3:$B$202,MATCH(B197,'Employee Database'!$A$3:$A$202,0)),"")</f>
        <v/>
      </c>
      <c r="D197" s="49" t="n"/>
      <c r="E197" s="50" t="n"/>
      <c r="F197" s="50" t="n"/>
      <c r="G197" s="36">
        <f>IF(OR(E197="",F197=""),"",NETWORKDAYS(E197,F197))</f>
        <v/>
      </c>
      <c r="H197" s="49" t="n"/>
      <c r="I197" s="49" t="n"/>
      <c r="J197" s="49" t="n"/>
      <c r="K197" s="49" t="n"/>
    </row>
    <row r="198">
      <c r="A198" s="49" t="n"/>
      <c r="B198" s="49" t="n"/>
      <c r="C198" s="36">
        <f>IFERROR(INDEX('Employee Database'!$B$3:$B$202,MATCH(B198,'Employee Database'!$A$3:$A$202,0)),"")</f>
        <v/>
      </c>
      <c r="D198" s="49" t="n"/>
      <c r="E198" s="50" t="n"/>
      <c r="F198" s="50" t="n"/>
      <c r="G198" s="36">
        <f>IF(OR(E198="",F198=""),"",NETWORKDAYS(E198,F198))</f>
        <v/>
      </c>
      <c r="H198" s="49" t="n"/>
      <c r="I198" s="49" t="n"/>
      <c r="J198" s="49" t="n"/>
      <c r="K198" s="49" t="n"/>
    </row>
    <row r="199">
      <c r="A199" s="49" t="n"/>
      <c r="B199" s="49" t="n"/>
      <c r="C199" s="36">
        <f>IFERROR(INDEX('Employee Database'!$B$3:$B$202,MATCH(B199,'Employee Database'!$A$3:$A$202,0)),"")</f>
        <v/>
      </c>
      <c r="D199" s="49" t="n"/>
      <c r="E199" s="50" t="n"/>
      <c r="F199" s="50" t="n"/>
      <c r="G199" s="36">
        <f>IF(OR(E199="",F199=""),"",NETWORKDAYS(E199,F199))</f>
        <v/>
      </c>
      <c r="H199" s="49" t="n"/>
      <c r="I199" s="49" t="n"/>
      <c r="J199" s="49" t="n"/>
      <c r="K199" s="49" t="n"/>
    </row>
    <row r="200">
      <c r="A200" s="49" t="n"/>
      <c r="B200" s="49" t="n"/>
      <c r="C200" s="36">
        <f>IFERROR(INDEX('Employee Database'!$B$3:$B$202,MATCH(B200,'Employee Database'!$A$3:$A$202,0)),"")</f>
        <v/>
      </c>
      <c r="D200" s="49" t="n"/>
      <c r="E200" s="50" t="n"/>
      <c r="F200" s="50" t="n"/>
      <c r="G200" s="36">
        <f>IF(OR(E200="",F200=""),"",NETWORKDAYS(E200,F200))</f>
        <v/>
      </c>
      <c r="H200" s="49" t="n"/>
      <c r="I200" s="49" t="n"/>
      <c r="J200" s="49" t="n"/>
      <c r="K200" s="49" t="n"/>
    </row>
    <row r="201">
      <c r="A201" s="49" t="n"/>
      <c r="B201" s="49" t="n"/>
      <c r="C201" s="36">
        <f>IFERROR(INDEX('Employee Database'!$B$3:$B$202,MATCH(B201,'Employee Database'!$A$3:$A$202,0)),"")</f>
        <v/>
      </c>
      <c r="D201" s="49" t="n"/>
      <c r="E201" s="50" t="n"/>
      <c r="F201" s="50" t="n"/>
      <c r="G201" s="36">
        <f>IF(OR(E201="",F201=""),"",NETWORKDAYS(E201,F201))</f>
        <v/>
      </c>
      <c r="H201" s="49" t="n"/>
      <c r="I201" s="49" t="n"/>
      <c r="J201" s="49" t="n"/>
      <c r="K201" s="49" t="n"/>
    </row>
    <row r="202">
      <c r="A202" s="49" t="n"/>
      <c r="B202" s="49" t="n"/>
      <c r="C202" s="36">
        <f>IFERROR(INDEX('Employee Database'!$B$3:$B$202,MATCH(B202,'Employee Database'!$A$3:$A$202,0)),"")</f>
        <v/>
      </c>
      <c r="D202" s="49" t="n"/>
      <c r="E202" s="50" t="n"/>
      <c r="F202" s="50" t="n"/>
      <c r="G202" s="36">
        <f>IF(OR(E202="",F202=""),"",NETWORKDAYS(E202,F202))</f>
        <v/>
      </c>
      <c r="H202" s="49" t="n"/>
      <c r="I202" s="49" t="n"/>
      <c r="J202" s="49" t="n"/>
      <c r="K202" s="49" t="n"/>
    </row>
  </sheetData>
  <mergeCells count="1">
    <mergeCell ref="A1:K1"/>
  </mergeCells>
  <dataValidations count="3">
    <dataValidation sqref="D3:D202" showDropDown="0" showInputMessage="0" showErrorMessage="0" allowBlank="1" type="list">
      <formula1>"Annual,Sickness,Unpaid,Parental,Other"</formula1>
    </dataValidation>
    <dataValidation sqref="H3:H202" showDropDown="0" showInputMessage="0" showErrorMessage="0" allowBlank="1" type="list">
      <formula1>"Yes,No"</formula1>
    </dataValidation>
    <dataValidation sqref="I3:I202" showDropDown="0" showInputMessage="0" showErrorMessage="0" allowBlank="1" type="list">
      <formula1>"Pending,Approved,Rejected"</formula1>
    </dataValidation>
  </dataValidations>
  <pageMargins left="0.3" right="0.3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0017365D"/>
    <outlinePr summaryBelow="1" summaryRight="1"/>
    <pageSetUpPr fitToPage="1"/>
  </sheetPr>
  <dimension ref="A1:L202"/>
  <sheetViews>
    <sheetView showGridLines="0" zoomScale="85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7" customWidth="1" min="3" max="3"/>
    <col width="16" customWidth="1" min="4" max="4"/>
    <col width="24" customWidth="1" min="5" max="5"/>
    <col width="20" customWidth="1" min="6" max="6"/>
    <col width="18" customWidth="1" min="7" max="7"/>
    <col width="17" customWidth="1" min="8" max="8"/>
    <col width="20" customWidth="1" min="9" max="9"/>
    <col width="28" customWidth="1" min="10" max="10"/>
    <col width="16" customWidth="1" min="11" max="11"/>
    <col width="30" customWidth="1" min="12" max="12"/>
  </cols>
  <sheetData>
    <row r="1">
      <c r="A1" s="37" t="inlineStr">
        <is>
          <t>AVERRA — PAYMENT TRACKER</t>
        </is>
      </c>
    </row>
    <row r="2" ht="32" customHeight="1">
      <c r="A2" s="33" t="inlineStr">
        <is>
          <t>Payment ID</t>
        </is>
      </c>
      <c r="B2" s="33" t="inlineStr">
        <is>
          <t>Payroll ID</t>
        </is>
      </c>
      <c r="C2" s="33" t="inlineStr">
        <is>
          <t>Pay Date</t>
        </is>
      </c>
      <c r="D2" s="33" t="inlineStr">
        <is>
          <t>Employee ID</t>
        </is>
      </c>
      <c r="E2" s="33" t="inlineStr">
        <is>
          <t>Employee Name</t>
        </is>
      </c>
      <c r="F2" s="33" t="inlineStr">
        <is>
          <t>Net Pay (GBP)</t>
        </is>
      </c>
      <c r="G2" s="33" t="inlineStr">
        <is>
          <t>Payment Status</t>
        </is>
      </c>
      <c r="H2" s="33" t="inlineStr">
        <is>
          <t>Paid Date</t>
        </is>
      </c>
      <c r="I2" s="33" t="inlineStr">
        <is>
          <t>Bank / Method</t>
        </is>
      </c>
      <c r="J2" s="33" t="inlineStr">
        <is>
          <t>Transaction Reference</t>
        </is>
      </c>
      <c r="K2" s="33" t="inlineStr">
        <is>
          <t>Reconciled?</t>
        </is>
      </c>
      <c r="L2" s="33" t="inlineStr">
        <is>
          <t>Notes</t>
        </is>
      </c>
    </row>
    <row r="3">
      <c r="A3" s="49" t="n"/>
      <c r="B3" s="49" t="n"/>
      <c r="C3" s="50" t="n"/>
      <c r="D3" s="49" t="n"/>
      <c r="E3" s="36">
        <f>IFERROR(INDEX('Employee Database'!$B$3:$B$202,MATCH(D3,'Employee Database'!$A$3:$A$202,0)),"")</f>
        <v/>
      </c>
      <c r="F3" s="32">
        <f>IFERROR(INDEX('Monthly Payroll'!$R$3:$R$202,MATCH(B3,'Monthly Payroll'!$A$3:$A$202,0)),0)</f>
        <v/>
      </c>
      <c r="G3" s="49" t="n"/>
      <c r="H3" s="50" t="n"/>
      <c r="I3" s="49" t="n"/>
      <c r="J3" s="49" t="n"/>
      <c r="K3" s="49" t="n"/>
      <c r="L3" s="49" t="n"/>
    </row>
    <row r="4">
      <c r="A4" s="49" t="n"/>
      <c r="B4" s="49" t="n"/>
      <c r="C4" s="50" t="n"/>
      <c r="D4" s="49" t="n"/>
      <c r="E4" s="36">
        <f>IFERROR(INDEX('Employee Database'!$B$3:$B$202,MATCH(D4,'Employee Database'!$A$3:$A$202,0)),"")</f>
        <v/>
      </c>
      <c r="F4" s="32">
        <f>IFERROR(INDEX('Monthly Payroll'!$R$3:$R$202,MATCH(B4,'Monthly Payroll'!$A$3:$A$202,0)),0)</f>
        <v/>
      </c>
      <c r="G4" s="49" t="n"/>
      <c r="H4" s="50" t="n"/>
      <c r="I4" s="49" t="n"/>
      <c r="J4" s="49" t="n"/>
      <c r="K4" s="49" t="n"/>
      <c r="L4" s="49" t="n"/>
    </row>
    <row r="5">
      <c r="A5" s="49" t="n"/>
      <c r="B5" s="49" t="n"/>
      <c r="C5" s="50" t="n"/>
      <c r="D5" s="49" t="n"/>
      <c r="E5" s="36">
        <f>IFERROR(INDEX('Employee Database'!$B$3:$B$202,MATCH(D5,'Employee Database'!$A$3:$A$202,0)),"")</f>
        <v/>
      </c>
      <c r="F5" s="32">
        <f>IFERROR(INDEX('Monthly Payroll'!$R$3:$R$202,MATCH(B5,'Monthly Payroll'!$A$3:$A$202,0)),0)</f>
        <v/>
      </c>
      <c r="G5" s="49" t="n"/>
      <c r="H5" s="50" t="n"/>
      <c r="I5" s="49" t="n"/>
      <c r="J5" s="49" t="n"/>
      <c r="K5" s="49" t="n"/>
      <c r="L5" s="49" t="n"/>
    </row>
    <row r="6">
      <c r="A6" s="49" t="n"/>
      <c r="B6" s="49" t="n"/>
      <c r="C6" s="50" t="n"/>
      <c r="D6" s="49" t="n"/>
      <c r="E6" s="36">
        <f>IFERROR(INDEX('Employee Database'!$B$3:$B$202,MATCH(D6,'Employee Database'!$A$3:$A$202,0)),"")</f>
        <v/>
      </c>
      <c r="F6" s="32">
        <f>IFERROR(INDEX('Monthly Payroll'!$R$3:$R$202,MATCH(B6,'Monthly Payroll'!$A$3:$A$202,0)),0)</f>
        <v/>
      </c>
      <c r="G6" s="49" t="n"/>
      <c r="H6" s="50" t="n"/>
      <c r="I6" s="49" t="n"/>
      <c r="J6" s="49" t="n"/>
      <c r="K6" s="49" t="n"/>
      <c r="L6" s="49" t="n"/>
    </row>
    <row r="7">
      <c r="A7" s="49" t="n"/>
      <c r="B7" s="49" t="n"/>
      <c r="C7" s="50" t="n"/>
      <c r="D7" s="49" t="n"/>
      <c r="E7" s="36">
        <f>IFERROR(INDEX('Employee Database'!$B$3:$B$202,MATCH(D7,'Employee Database'!$A$3:$A$202,0)),"")</f>
        <v/>
      </c>
      <c r="F7" s="32">
        <f>IFERROR(INDEX('Monthly Payroll'!$R$3:$R$202,MATCH(B7,'Monthly Payroll'!$A$3:$A$202,0)),0)</f>
        <v/>
      </c>
      <c r="G7" s="49" t="n"/>
      <c r="H7" s="50" t="n"/>
      <c r="I7" s="49" t="n"/>
      <c r="J7" s="49" t="n"/>
      <c r="K7" s="49" t="n"/>
      <c r="L7" s="49" t="n"/>
    </row>
    <row r="8">
      <c r="A8" s="49" t="n"/>
      <c r="B8" s="49" t="n"/>
      <c r="C8" s="50" t="n"/>
      <c r="D8" s="49" t="n"/>
      <c r="E8" s="36">
        <f>IFERROR(INDEX('Employee Database'!$B$3:$B$202,MATCH(D8,'Employee Database'!$A$3:$A$202,0)),"")</f>
        <v/>
      </c>
      <c r="F8" s="32">
        <f>IFERROR(INDEX('Monthly Payroll'!$R$3:$R$202,MATCH(B8,'Monthly Payroll'!$A$3:$A$202,0)),0)</f>
        <v/>
      </c>
      <c r="G8" s="49" t="n"/>
      <c r="H8" s="50" t="n"/>
      <c r="I8" s="49" t="n"/>
      <c r="J8" s="49" t="n"/>
      <c r="K8" s="49" t="n"/>
      <c r="L8" s="49" t="n"/>
    </row>
    <row r="9">
      <c r="A9" s="49" t="n"/>
      <c r="B9" s="49" t="n"/>
      <c r="C9" s="50" t="n"/>
      <c r="D9" s="49" t="n"/>
      <c r="E9" s="36">
        <f>IFERROR(INDEX('Employee Database'!$B$3:$B$202,MATCH(D9,'Employee Database'!$A$3:$A$202,0)),"")</f>
        <v/>
      </c>
      <c r="F9" s="32">
        <f>IFERROR(INDEX('Monthly Payroll'!$R$3:$R$202,MATCH(B9,'Monthly Payroll'!$A$3:$A$202,0)),0)</f>
        <v/>
      </c>
      <c r="G9" s="49" t="n"/>
      <c r="H9" s="50" t="n"/>
      <c r="I9" s="49" t="n"/>
      <c r="J9" s="49" t="n"/>
      <c r="K9" s="49" t="n"/>
      <c r="L9" s="49" t="n"/>
    </row>
    <row r="10">
      <c r="A10" s="49" t="n"/>
      <c r="B10" s="49" t="n"/>
      <c r="C10" s="50" t="n"/>
      <c r="D10" s="49" t="n"/>
      <c r="E10" s="36">
        <f>IFERROR(INDEX('Employee Database'!$B$3:$B$202,MATCH(D10,'Employee Database'!$A$3:$A$202,0)),"")</f>
        <v/>
      </c>
      <c r="F10" s="32">
        <f>IFERROR(INDEX('Monthly Payroll'!$R$3:$R$202,MATCH(B10,'Monthly Payroll'!$A$3:$A$202,0)),0)</f>
        <v/>
      </c>
      <c r="G10" s="49" t="n"/>
      <c r="H10" s="50" t="n"/>
      <c r="I10" s="49" t="n"/>
      <c r="J10" s="49" t="n"/>
      <c r="K10" s="49" t="n"/>
      <c r="L10" s="49" t="n"/>
    </row>
    <row r="11">
      <c r="A11" s="49" t="n"/>
      <c r="B11" s="49" t="n"/>
      <c r="C11" s="50" t="n"/>
      <c r="D11" s="49" t="n"/>
      <c r="E11" s="36">
        <f>IFERROR(INDEX('Employee Database'!$B$3:$B$202,MATCH(D11,'Employee Database'!$A$3:$A$202,0)),"")</f>
        <v/>
      </c>
      <c r="F11" s="32">
        <f>IFERROR(INDEX('Monthly Payroll'!$R$3:$R$202,MATCH(B11,'Monthly Payroll'!$A$3:$A$202,0)),0)</f>
        <v/>
      </c>
      <c r="G11" s="49" t="n"/>
      <c r="H11" s="50" t="n"/>
      <c r="I11" s="49" t="n"/>
      <c r="J11" s="49" t="n"/>
      <c r="K11" s="49" t="n"/>
      <c r="L11" s="49" t="n"/>
    </row>
    <row r="12">
      <c r="A12" s="49" t="n"/>
      <c r="B12" s="49" t="n"/>
      <c r="C12" s="50" t="n"/>
      <c r="D12" s="49" t="n"/>
      <c r="E12" s="36">
        <f>IFERROR(INDEX('Employee Database'!$B$3:$B$202,MATCH(D12,'Employee Database'!$A$3:$A$202,0)),"")</f>
        <v/>
      </c>
      <c r="F12" s="32">
        <f>IFERROR(INDEX('Monthly Payroll'!$R$3:$R$202,MATCH(B12,'Monthly Payroll'!$A$3:$A$202,0)),0)</f>
        <v/>
      </c>
      <c r="G12" s="49" t="n"/>
      <c r="H12" s="50" t="n"/>
      <c r="I12" s="49" t="n"/>
      <c r="J12" s="49" t="n"/>
      <c r="K12" s="49" t="n"/>
      <c r="L12" s="49" t="n"/>
    </row>
    <row r="13">
      <c r="A13" s="49" t="n"/>
      <c r="B13" s="49" t="n"/>
      <c r="C13" s="50" t="n"/>
      <c r="D13" s="49" t="n"/>
      <c r="E13" s="36">
        <f>IFERROR(INDEX('Employee Database'!$B$3:$B$202,MATCH(D13,'Employee Database'!$A$3:$A$202,0)),"")</f>
        <v/>
      </c>
      <c r="F13" s="32">
        <f>IFERROR(INDEX('Monthly Payroll'!$R$3:$R$202,MATCH(B13,'Monthly Payroll'!$A$3:$A$202,0)),0)</f>
        <v/>
      </c>
      <c r="G13" s="49" t="n"/>
      <c r="H13" s="50" t="n"/>
      <c r="I13" s="49" t="n"/>
      <c r="J13" s="49" t="n"/>
      <c r="K13" s="49" t="n"/>
      <c r="L13" s="49" t="n"/>
    </row>
    <row r="14">
      <c r="A14" s="49" t="n"/>
      <c r="B14" s="49" t="n"/>
      <c r="C14" s="50" t="n"/>
      <c r="D14" s="49" t="n"/>
      <c r="E14" s="36">
        <f>IFERROR(INDEX('Employee Database'!$B$3:$B$202,MATCH(D14,'Employee Database'!$A$3:$A$202,0)),"")</f>
        <v/>
      </c>
      <c r="F14" s="32">
        <f>IFERROR(INDEX('Monthly Payroll'!$R$3:$R$202,MATCH(B14,'Monthly Payroll'!$A$3:$A$202,0)),0)</f>
        <v/>
      </c>
      <c r="G14" s="49" t="n"/>
      <c r="H14" s="50" t="n"/>
      <c r="I14" s="49" t="n"/>
      <c r="J14" s="49" t="n"/>
      <c r="K14" s="49" t="n"/>
      <c r="L14" s="49" t="n"/>
    </row>
    <row r="15">
      <c r="A15" s="49" t="n"/>
      <c r="B15" s="49" t="n"/>
      <c r="C15" s="50" t="n"/>
      <c r="D15" s="49" t="n"/>
      <c r="E15" s="36">
        <f>IFERROR(INDEX('Employee Database'!$B$3:$B$202,MATCH(D15,'Employee Database'!$A$3:$A$202,0)),"")</f>
        <v/>
      </c>
      <c r="F15" s="32">
        <f>IFERROR(INDEX('Monthly Payroll'!$R$3:$R$202,MATCH(B15,'Monthly Payroll'!$A$3:$A$202,0)),0)</f>
        <v/>
      </c>
      <c r="G15" s="49" t="n"/>
      <c r="H15" s="50" t="n"/>
      <c r="I15" s="49" t="n"/>
      <c r="J15" s="49" t="n"/>
      <c r="K15" s="49" t="n"/>
      <c r="L15" s="49" t="n"/>
    </row>
    <row r="16">
      <c r="A16" s="49" t="n"/>
      <c r="B16" s="49" t="n"/>
      <c r="C16" s="50" t="n"/>
      <c r="D16" s="49" t="n"/>
      <c r="E16" s="36">
        <f>IFERROR(INDEX('Employee Database'!$B$3:$B$202,MATCH(D16,'Employee Database'!$A$3:$A$202,0)),"")</f>
        <v/>
      </c>
      <c r="F16" s="32">
        <f>IFERROR(INDEX('Monthly Payroll'!$R$3:$R$202,MATCH(B16,'Monthly Payroll'!$A$3:$A$202,0)),0)</f>
        <v/>
      </c>
      <c r="G16" s="49" t="n"/>
      <c r="H16" s="50" t="n"/>
      <c r="I16" s="49" t="n"/>
      <c r="J16" s="49" t="n"/>
      <c r="K16" s="49" t="n"/>
      <c r="L16" s="49" t="n"/>
    </row>
    <row r="17">
      <c r="A17" s="49" t="n"/>
      <c r="B17" s="49" t="n"/>
      <c r="C17" s="50" t="n"/>
      <c r="D17" s="49" t="n"/>
      <c r="E17" s="36">
        <f>IFERROR(INDEX('Employee Database'!$B$3:$B$202,MATCH(D17,'Employee Database'!$A$3:$A$202,0)),"")</f>
        <v/>
      </c>
      <c r="F17" s="32">
        <f>IFERROR(INDEX('Monthly Payroll'!$R$3:$R$202,MATCH(B17,'Monthly Payroll'!$A$3:$A$202,0)),0)</f>
        <v/>
      </c>
      <c r="G17" s="49" t="n"/>
      <c r="H17" s="50" t="n"/>
      <c r="I17" s="49" t="n"/>
      <c r="J17" s="49" t="n"/>
      <c r="K17" s="49" t="n"/>
      <c r="L17" s="49" t="n"/>
    </row>
    <row r="18">
      <c r="A18" s="49" t="n"/>
      <c r="B18" s="49" t="n"/>
      <c r="C18" s="50" t="n"/>
      <c r="D18" s="49" t="n"/>
      <c r="E18" s="36">
        <f>IFERROR(INDEX('Employee Database'!$B$3:$B$202,MATCH(D18,'Employee Database'!$A$3:$A$202,0)),"")</f>
        <v/>
      </c>
      <c r="F18" s="32">
        <f>IFERROR(INDEX('Monthly Payroll'!$R$3:$R$202,MATCH(B18,'Monthly Payroll'!$A$3:$A$202,0)),0)</f>
        <v/>
      </c>
      <c r="G18" s="49" t="n"/>
      <c r="H18" s="50" t="n"/>
      <c r="I18" s="49" t="n"/>
      <c r="J18" s="49" t="n"/>
      <c r="K18" s="49" t="n"/>
      <c r="L18" s="49" t="n"/>
    </row>
    <row r="19">
      <c r="A19" s="49" t="n"/>
      <c r="B19" s="49" t="n"/>
      <c r="C19" s="50" t="n"/>
      <c r="D19" s="49" t="n"/>
      <c r="E19" s="36">
        <f>IFERROR(INDEX('Employee Database'!$B$3:$B$202,MATCH(D19,'Employee Database'!$A$3:$A$202,0)),"")</f>
        <v/>
      </c>
      <c r="F19" s="32">
        <f>IFERROR(INDEX('Monthly Payroll'!$R$3:$R$202,MATCH(B19,'Monthly Payroll'!$A$3:$A$202,0)),0)</f>
        <v/>
      </c>
      <c r="G19" s="49" t="n"/>
      <c r="H19" s="50" t="n"/>
      <c r="I19" s="49" t="n"/>
      <c r="J19" s="49" t="n"/>
      <c r="K19" s="49" t="n"/>
      <c r="L19" s="49" t="n"/>
    </row>
    <row r="20">
      <c r="A20" s="49" t="n"/>
      <c r="B20" s="49" t="n"/>
      <c r="C20" s="50" t="n"/>
      <c r="D20" s="49" t="n"/>
      <c r="E20" s="36">
        <f>IFERROR(INDEX('Employee Database'!$B$3:$B$202,MATCH(D20,'Employee Database'!$A$3:$A$202,0)),"")</f>
        <v/>
      </c>
      <c r="F20" s="32">
        <f>IFERROR(INDEX('Monthly Payroll'!$R$3:$R$202,MATCH(B20,'Monthly Payroll'!$A$3:$A$202,0)),0)</f>
        <v/>
      </c>
      <c r="G20" s="49" t="n"/>
      <c r="H20" s="50" t="n"/>
      <c r="I20" s="49" t="n"/>
      <c r="J20" s="49" t="n"/>
      <c r="K20" s="49" t="n"/>
      <c r="L20" s="49" t="n"/>
    </row>
    <row r="21">
      <c r="A21" s="49" t="n"/>
      <c r="B21" s="49" t="n"/>
      <c r="C21" s="50" t="n"/>
      <c r="D21" s="49" t="n"/>
      <c r="E21" s="36">
        <f>IFERROR(INDEX('Employee Database'!$B$3:$B$202,MATCH(D21,'Employee Database'!$A$3:$A$202,0)),"")</f>
        <v/>
      </c>
      <c r="F21" s="32">
        <f>IFERROR(INDEX('Monthly Payroll'!$R$3:$R$202,MATCH(B21,'Monthly Payroll'!$A$3:$A$202,0)),0)</f>
        <v/>
      </c>
      <c r="G21" s="49" t="n"/>
      <c r="H21" s="50" t="n"/>
      <c r="I21" s="49" t="n"/>
      <c r="J21" s="49" t="n"/>
      <c r="K21" s="49" t="n"/>
      <c r="L21" s="49" t="n"/>
    </row>
    <row r="22">
      <c r="A22" s="49" t="n"/>
      <c r="B22" s="49" t="n"/>
      <c r="C22" s="50" t="n"/>
      <c r="D22" s="49" t="n"/>
      <c r="E22" s="36">
        <f>IFERROR(INDEX('Employee Database'!$B$3:$B$202,MATCH(D22,'Employee Database'!$A$3:$A$202,0)),"")</f>
        <v/>
      </c>
      <c r="F22" s="32">
        <f>IFERROR(INDEX('Monthly Payroll'!$R$3:$R$202,MATCH(B22,'Monthly Payroll'!$A$3:$A$202,0)),0)</f>
        <v/>
      </c>
      <c r="G22" s="49" t="n"/>
      <c r="H22" s="50" t="n"/>
      <c r="I22" s="49" t="n"/>
      <c r="J22" s="49" t="n"/>
      <c r="K22" s="49" t="n"/>
      <c r="L22" s="49" t="n"/>
    </row>
    <row r="23">
      <c r="A23" s="49" t="n"/>
      <c r="B23" s="49" t="n"/>
      <c r="C23" s="50" t="n"/>
      <c r="D23" s="49" t="n"/>
      <c r="E23" s="36">
        <f>IFERROR(INDEX('Employee Database'!$B$3:$B$202,MATCH(D23,'Employee Database'!$A$3:$A$202,0)),"")</f>
        <v/>
      </c>
      <c r="F23" s="32">
        <f>IFERROR(INDEX('Monthly Payroll'!$R$3:$R$202,MATCH(B23,'Monthly Payroll'!$A$3:$A$202,0)),0)</f>
        <v/>
      </c>
      <c r="G23" s="49" t="n"/>
      <c r="H23" s="50" t="n"/>
      <c r="I23" s="49" t="n"/>
      <c r="J23" s="49" t="n"/>
      <c r="K23" s="49" t="n"/>
      <c r="L23" s="49" t="n"/>
    </row>
    <row r="24">
      <c r="A24" s="49" t="n"/>
      <c r="B24" s="49" t="n"/>
      <c r="C24" s="50" t="n"/>
      <c r="D24" s="49" t="n"/>
      <c r="E24" s="36">
        <f>IFERROR(INDEX('Employee Database'!$B$3:$B$202,MATCH(D24,'Employee Database'!$A$3:$A$202,0)),"")</f>
        <v/>
      </c>
      <c r="F24" s="32">
        <f>IFERROR(INDEX('Monthly Payroll'!$R$3:$R$202,MATCH(B24,'Monthly Payroll'!$A$3:$A$202,0)),0)</f>
        <v/>
      </c>
      <c r="G24" s="49" t="n"/>
      <c r="H24" s="50" t="n"/>
      <c r="I24" s="49" t="n"/>
      <c r="J24" s="49" t="n"/>
      <c r="K24" s="49" t="n"/>
      <c r="L24" s="49" t="n"/>
    </row>
    <row r="25">
      <c r="A25" s="49" t="n"/>
      <c r="B25" s="49" t="n"/>
      <c r="C25" s="50" t="n"/>
      <c r="D25" s="49" t="n"/>
      <c r="E25" s="36">
        <f>IFERROR(INDEX('Employee Database'!$B$3:$B$202,MATCH(D25,'Employee Database'!$A$3:$A$202,0)),"")</f>
        <v/>
      </c>
      <c r="F25" s="32">
        <f>IFERROR(INDEX('Monthly Payroll'!$R$3:$R$202,MATCH(B25,'Monthly Payroll'!$A$3:$A$202,0)),0)</f>
        <v/>
      </c>
      <c r="G25" s="49" t="n"/>
      <c r="H25" s="50" t="n"/>
      <c r="I25" s="49" t="n"/>
      <c r="J25" s="49" t="n"/>
      <c r="K25" s="49" t="n"/>
      <c r="L25" s="49" t="n"/>
    </row>
    <row r="26">
      <c r="A26" s="49" t="n"/>
      <c r="B26" s="49" t="n"/>
      <c r="C26" s="50" t="n"/>
      <c r="D26" s="49" t="n"/>
      <c r="E26" s="36">
        <f>IFERROR(INDEX('Employee Database'!$B$3:$B$202,MATCH(D26,'Employee Database'!$A$3:$A$202,0)),"")</f>
        <v/>
      </c>
      <c r="F26" s="32">
        <f>IFERROR(INDEX('Monthly Payroll'!$R$3:$R$202,MATCH(B26,'Monthly Payroll'!$A$3:$A$202,0)),0)</f>
        <v/>
      </c>
      <c r="G26" s="49" t="n"/>
      <c r="H26" s="50" t="n"/>
      <c r="I26" s="49" t="n"/>
      <c r="J26" s="49" t="n"/>
      <c r="K26" s="49" t="n"/>
      <c r="L26" s="49" t="n"/>
    </row>
    <row r="27">
      <c r="A27" s="49" t="n"/>
      <c r="B27" s="49" t="n"/>
      <c r="C27" s="50" t="n"/>
      <c r="D27" s="49" t="n"/>
      <c r="E27" s="36">
        <f>IFERROR(INDEX('Employee Database'!$B$3:$B$202,MATCH(D27,'Employee Database'!$A$3:$A$202,0)),"")</f>
        <v/>
      </c>
      <c r="F27" s="32">
        <f>IFERROR(INDEX('Monthly Payroll'!$R$3:$R$202,MATCH(B27,'Monthly Payroll'!$A$3:$A$202,0)),0)</f>
        <v/>
      </c>
      <c r="G27" s="49" t="n"/>
      <c r="H27" s="50" t="n"/>
      <c r="I27" s="49" t="n"/>
      <c r="J27" s="49" t="n"/>
      <c r="K27" s="49" t="n"/>
      <c r="L27" s="49" t="n"/>
    </row>
    <row r="28">
      <c r="A28" s="49" t="n"/>
      <c r="B28" s="49" t="n"/>
      <c r="C28" s="50" t="n"/>
      <c r="D28" s="49" t="n"/>
      <c r="E28" s="36">
        <f>IFERROR(INDEX('Employee Database'!$B$3:$B$202,MATCH(D28,'Employee Database'!$A$3:$A$202,0)),"")</f>
        <v/>
      </c>
      <c r="F28" s="32">
        <f>IFERROR(INDEX('Monthly Payroll'!$R$3:$R$202,MATCH(B28,'Monthly Payroll'!$A$3:$A$202,0)),0)</f>
        <v/>
      </c>
      <c r="G28" s="49" t="n"/>
      <c r="H28" s="50" t="n"/>
      <c r="I28" s="49" t="n"/>
      <c r="J28" s="49" t="n"/>
      <c r="K28" s="49" t="n"/>
      <c r="L28" s="49" t="n"/>
    </row>
    <row r="29">
      <c r="A29" s="49" t="n"/>
      <c r="B29" s="49" t="n"/>
      <c r="C29" s="50" t="n"/>
      <c r="D29" s="49" t="n"/>
      <c r="E29" s="36">
        <f>IFERROR(INDEX('Employee Database'!$B$3:$B$202,MATCH(D29,'Employee Database'!$A$3:$A$202,0)),"")</f>
        <v/>
      </c>
      <c r="F29" s="32">
        <f>IFERROR(INDEX('Monthly Payroll'!$R$3:$R$202,MATCH(B29,'Monthly Payroll'!$A$3:$A$202,0)),0)</f>
        <v/>
      </c>
      <c r="G29" s="49" t="n"/>
      <c r="H29" s="50" t="n"/>
      <c r="I29" s="49" t="n"/>
      <c r="J29" s="49" t="n"/>
      <c r="K29" s="49" t="n"/>
      <c r="L29" s="49" t="n"/>
    </row>
    <row r="30">
      <c r="A30" s="49" t="n"/>
      <c r="B30" s="49" t="n"/>
      <c r="C30" s="50" t="n"/>
      <c r="D30" s="49" t="n"/>
      <c r="E30" s="36">
        <f>IFERROR(INDEX('Employee Database'!$B$3:$B$202,MATCH(D30,'Employee Database'!$A$3:$A$202,0)),"")</f>
        <v/>
      </c>
      <c r="F30" s="32">
        <f>IFERROR(INDEX('Monthly Payroll'!$R$3:$R$202,MATCH(B30,'Monthly Payroll'!$A$3:$A$202,0)),0)</f>
        <v/>
      </c>
      <c r="G30" s="49" t="n"/>
      <c r="H30" s="50" t="n"/>
      <c r="I30" s="49" t="n"/>
      <c r="J30" s="49" t="n"/>
      <c r="K30" s="49" t="n"/>
      <c r="L30" s="49" t="n"/>
    </row>
    <row r="31">
      <c r="A31" s="49" t="n"/>
      <c r="B31" s="49" t="n"/>
      <c r="C31" s="50" t="n"/>
      <c r="D31" s="49" t="n"/>
      <c r="E31" s="36">
        <f>IFERROR(INDEX('Employee Database'!$B$3:$B$202,MATCH(D31,'Employee Database'!$A$3:$A$202,0)),"")</f>
        <v/>
      </c>
      <c r="F31" s="32">
        <f>IFERROR(INDEX('Monthly Payroll'!$R$3:$R$202,MATCH(B31,'Monthly Payroll'!$A$3:$A$202,0)),0)</f>
        <v/>
      </c>
      <c r="G31" s="49" t="n"/>
      <c r="H31" s="50" t="n"/>
      <c r="I31" s="49" t="n"/>
      <c r="J31" s="49" t="n"/>
      <c r="K31" s="49" t="n"/>
      <c r="L31" s="49" t="n"/>
    </row>
    <row r="32">
      <c r="A32" s="49" t="n"/>
      <c r="B32" s="49" t="n"/>
      <c r="C32" s="50" t="n"/>
      <c r="D32" s="49" t="n"/>
      <c r="E32" s="36">
        <f>IFERROR(INDEX('Employee Database'!$B$3:$B$202,MATCH(D32,'Employee Database'!$A$3:$A$202,0)),"")</f>
        <v/>
      </c>
      <c r="F32" s="32">
        <f>IFERROR(INDEX('Monthly Payroll'!$R$3:$R$202,MATCH(B32,'Monthly Payroll'!$A$3:$A$202,0)),0)</f>
        <v/>
      </c>
      <c r="G32" s="49" t="n"/>
      <c r="H32" s="50" t="n"/>
      <c r="I32" s="49" t="n"/>
      <c r="J32" s="49" t="n"/>
      <c r="K32" s="49" t="n"/>
      <c r="L32" s="49" t="n"/>
    </row>
    <row r="33">
      <c r="A33" s="49" t="n"/>
      <c r="B33" s="49" t="n"/>
      <c r="C33" s="50" t="n"/>
      <c r="D33" s="49" t="n"/>
      <c r="E33" s="36">
        <f>IFERROR(INDEX('Employee Database'!$B$3:$B$202,MATCH(D33,'Employee Database'!$A$3:$A$202,0)),"")</f>
        <v/>
      </c>
      <c r="F33" s="32">
        <f>IFERROR(INDEX('Monthly Payroll'!$R$3:$R$202,MATCH(B33,'Monthly Payroll'!$A$3:$A$202,0)),0)</f>
        <v/>
      </c>
      <c r="G33" s="49" t="n"/>
      <c r="H33" s="50" t="n"/>
      <c r="I33" s="49" t="n"/>
      <c r="J33" s="49" t="n"/>
      <c r="K33" s="49" t="n"/>
      <c r="L33" s="49" t="n"/>
    </row>
    <row r="34">
      <c r="A34" s="49" t="n"/>
      <c r="B34" s="49" t="n"/>
      <c r="C34" s="50" t="n"/>
      <c r="D34" s="49" t="n"/>
      <c r="E34" s="36">
        <f>IFERROR(INDEX('Employee Database'!$B$3:$B$202,MATCH(D34,'Employee Database'!$A$3:$A$202,0)),"")</f>
        <v/>
      </c>
      <c r="F34" s="32">
        <f>IFERROR(INDEX('Monthly Payroll'!$R$3:$R$202,MATCH(B34,'Monthly Payroll'!$A$3:$A$202,0)),0)</f>
        <v/>
      </c>
      <c r="G34" s="49" t="n"/>
      <c r="H34" s="50" t="n"/>
      <c r="I34" s="49" t="n"/>
      <c r="J34" s="49" t="n"/>
      <c r="K34" s="49" t="n"/>
      <c r="L34" s="49" t="n"/>
    </row>
    <row r="35">
      <c r="A35" s="49" t="n"/>
      <c r="B35" s="49" t="n"/>
      <c r="C35" s="50" t="n"/>
      <c r="D35" s="49" t="n"/>
      <c r="E35" s="36">
        <f>IFERROR(INDEX('Employee Database'!$B$3:$B$202,MATCH(D35,'Employee Database'!$A$3:$A$202,0)),"")</f>
        <v/>
      </c>
      <c r="F35" s="32">
        <f>IFERROR(INDEX('Monthly Payroll'!$R$3:$R$202,MATCH(B35,'Monthly Payroll'!$A$3:$A$202,0)),0)</f>
        <v/>
      </c>
      <c r="G35" s="49" t="n"/>
      <c r="H35" s="50" t="n"/>
      <c r="I35" s="49" t="n"/>
      <c r="J35" s="49" t="n"/>
      <c r="K35" s="49" t="n"/>
      <c r="L35" s="49" t="n"/>
    </row>
    <row r="36">
      <c r="A36" s="49" t="n"/>
      <c r="B36" s="49" t="n"/>
      <c r="C36" s="50" t="n"/>
      <c r="D36" s="49" t="n"/>
      <c r="E36" s="36">
        <f>IFERROR(INDEX('Employee Database'!$B$3:$B$202,MATCH(D36,'Employee Database'!$A$3:$A$202,0)),"")</f>
        <v/>
      </c>
      <c r="F36" s="32">
        <f>IFERROR(INDEX('Monthly Payroll'!$R$3:$R$202,MATCH(B36,'Monthly Payroll'!$A$3:$A$202,0)),0)</f>
        <v/>
      </c>
      <c r="G36" s="49" t="n"/>
      <c r="H36" s="50" t="n"/>
      <c r="I36" s="49" t="n"/>
      <c r="J36" s="49" t="n"/>
      <c r="K36" s="49" t="n"/>
      <c r="L36" s="49" t="n"/>
    </row>
    <row r="37">
      <c r="A37" s="49" t="n"/>
      <c r="B37" s="49" t="n"/>
      <c r="C37" s="50" t="n"/>
      <c r="D37" s="49" t="n"/>
      <c r="E37" s="36">
        <f>IFERROR(INDEX('Employee Database'!$B$3:$B$202,MATCH(D37,'Employee Database'!$A$3:$A$202,0)),"")</f>
        <v/>
      </c>
      <c r="F37" s="32">
        <f>IFERROR(INDEX('Monthly Payroll'!$R$3:$R$202,MATCH(B37,'Monthly Payroll'!$A$3:$A$202,0)),0)</f>
        <v/>
      </c>
      <c r="G37" s="49" t="n"/>
      <c r="H37" s="50" t="n"/>
      <c r="I37" s="49" t="n"/>
      <c r="J37" s="49" t="n"/>
      <c r="K37" s="49" t="n"/>
      <c r="L37" s="49" t="n"/>
    </row>
    <row r="38">
      <c r="A38" s="49" t="n"/>
      <c r="B38" s="49" t="n"/>
      <c r="C38" s="50" t="n"/>
      <c r="D38" s="49" t="n"/>
      <c r="E38" s="36">
        <f>IFERROR(INDEX('Employee Database'!$B$3:$B$202,MATCH(D38,'Employee Database'!$A$3:$A$202,0)),"")</f>
        <v/>
      </c>
      <c r="F38" s="32">
        <f>IFERROR(INDEX('Monthly Payroll'!$R$3:$R$202,MATCH(B38,'Monthly Payroll'!$A$3:$A$202,0)),0)</f>
        <v/>
      </c>
      <c r="G38" s="49" t="n"/>
      <c r="H38" s="50" t="n"/>
      <c r="I38" s="49" t="n"/>
      <c r="J38" s="49" t="n"/>
      <c r="K38" s="49" t="n"/>
      <c r="L38" s="49" t="n"/>
    </row>
    <row r="39">
      <c r="A39" s="49" t="n"/>
      <c r="B39" s="49" t="n"/>
      <c r="C39" s="50" t="n"/>
      <c r="D39" s="49" t="n"/>
      <c r="E39" s="36">
        <f>IFERROR(INDEX('Employee Database'!$B$3:$B$202,MATCH(D39,'Employee Database'!$A$3:$A$202,0)),"")</f>
        <v/>
      </c>
      <c r="F39" s="32">
        <f>IFERROR(INDEX('Monthly Payroll'!$R$3:$R$202,MATCH(B39,'Monthly Payroll'!$A$3:$A$202,0)),0)</f>
        <v/>
      </c>
      <c r="G39" s="49" t="n"/>
      <c r="H39" s="50" t="n"/>
      <c r="I39" s="49" t="n"/>
      <c r="J39" s="49" t="n"/>
      <c r="K39" s="49" t="n"/>
      <c r="L39" s="49" t="n"/>
    </row>
    <row r="40">
      <c r="A40" s="49" t="n"/>
      <c r="B40" s="49" t="n"/>
      <c r="C40" s="50" t="n"/>
      <c r="D40" s="49" t="n"/>
      <c r="E40" s="36">
        <f>IFERROR(INDEX('Employee Database'!$B$3:$B$202,MATCH(D40,'Employee Database'!$A$3:$A$202,0)),"")</f>
        <v/>
      </c>
      <c r="F40" s="32">
        <f>IFERROR(INDEX('Monthly Payroll'!$R$3:$R$202,MATCH(B40,'Monthly Payroll'!$A$3:$A$202,0)),0)</f>
        <v/>
      </c>
      <c r="G40" s="49" t="n"/>
      <c r="H40" s="50" t="n"/>
      <c r="I40" s="49" t="n"/>
      <c r="J40" s="49" t="n"/>
      <c r="K40" s="49" t="n"/>
      <c r="L40" s="49" t="n"/>
    </row>
    <row r="41">
      <c r="A41" s="49" t="n"/>
      <c r="B41" s="49" t="n"/>
      <c r="C41" s="50" t="n"/>
      <c r="D41" s="49" t="n"/>
      <c r="E41" s="36">
        <f>IFERROR(INDEX('Employee Database'!$B$3:$B$202,MATCH(D41,'Employee Database'!$A$3:$A$202,0)),"")</f>
        <v/>
      </c>
      <c r="F41" s="32">
        <f>IFERROR(INDEX('Monthly Payroll'!$R$3:$R$202,MATCH(B41,'Monthly Payroll'!$A$3:$A$202,0)),0)</f>
        <v/>
      </c>
      <c r="G41" s="49" t="n"/>
      <c r="H41" s="50" t="n"/>
      <c r="I41" s="49" t="n"/>
      <c r="J41" s="49" t="n"/>
      <c r="K41" s="49" t="n"/>
      <c r="L41" s="49" t="n"/>
    </row>
    <row r="42">
      <c r="A42" s="49" t="n"/>
      <c r="B42" s="49" t="n"/>
      <c r="C42" s="50" t="n"/>
      <c r="D42" s="49" t="n"/>
      <c r="E42" s="36">
        <f>IFERROR(INDEX('Employee Database'!$B$3:$B$202,MATCH(D42,'Employee Database'!$A$3:$A$202,0)),"")</f>
        <v/>
      </c>
      <c r="F42" s="32">
        <f>IFERROR(INDEX('Monthly Payroll'!$R$3:$R$202,MATCH(B42,'Monthly Payroll'!$A$3:$A$202,0)),0)</f>
        <v/>
      </c>
      <c r="G42" s="49" t="n"/>
      <c r="H42" s="50" t="n"/>
      <c r="I42" s="49" t="n"/>
      <c r="J42" s="49" t="n"/>
      <c r="K42" s="49" t="n"/>
      <c r="L42" s="49" t="n"/>
    </row>
    <row r="43">
      <c r="A43" s="49" t="n"/>
      <c r="B43" s="49" t="n"/>
      <c r="C43" s="50" t="n"/>
      <c r="D43" s="49" t="n"/>
      <c r="E43" s="36">
        <f>IFERROR(INDEX('Employee Database'!$B$3:$B$202,MATCH(D43,'Employee Database'!$A$3:$A$202,0)),"")</f>
        <v/>
      </c>
      <c r="F43" s="32">
        <f>IFERROR(INDEX('Monthly Payroll'!$R$3:$R$202,MATCH(B43,'Monthly Payroll'!$A$3:$A$202,0)),0)</f>
        <v/>
      </c>
      <c r="G43" s="49" t="n"/>
      <c r="H43" s="50" t="n"/>
      <c r="I43" s="49" t="n"/>
      <c r="J43" s="49" t="n"/>
      <c r="K43" s="49" t="n"/>
      <c r="L43" s="49" t="n"/>
    </row>
    <row r="44">
      <c r="A44" s="49" t="n"/>
      <c r="B44" s="49" t="n"/>
      <c r="C44" s="50" t="n"/>
      <c r="D44" s="49" t="n"/>
      <c r="E44" s="36">
        <f>IFERROR(INDEX('Employee Database'!$B$3:$B$202,MATCH(D44,'Employee Database'!$A$3:$A$202,0)),"")</f>
        <v/>
      </c>
      <c r="F44" s="32">
        <f>IFERROR(INDEX('Monthly Payroll'!$R$3:$R$202,MATCH(B44,'Monthly Payroll'!$A$3:$A$202,0)),0)</f>
        <v/>
      </c>
      <c r="G44" s="49" t="n"/>
      <c r="H44" s="50" t="n"/>
      <c r="I44" s="49" t="n"/>
      <c r="J44" s="49" t="n"/>
      <c r="K44" s="49" t="n"/>
      <c r="L44" s="49" t="n"/>
    </row>
    <row r="45">
      <c r="A45" s="49" t="n"/>
      <c r="B45" s="49" t="n"/>
      <c r="C45" s="50" t="n"/>
      <c r="D45" s="49" t="n"/>
      <c r="E45" s="36">
        <f>IFERROR(INDEX('Employee Database'!$B$3:$B$202,MATCH(D45,'Employee Database'!$A$3:$A$202,0)),"")</f>
        <v/>
      </c>
      <c r="F45" s="32">
        <f>IFERROR(INDEX('Monthly Payroll'!$R$3:$R$202,MATCH(B45,'Monthly Payroll'!$A$3:$A$202,0)),0)</f>
        <v/>
      </c>
      <c r="G45" s="49" t="n"/>
      <c r="H45" s="50" t="n"/>
      <c r="I45" s="49" t="n"/>
      <c r="J45" s="49" t="n"/>
      <c r="K45" s="49" t="n"/>
      <c r="L45" s="49" t="n"/>
    </row>
    <row r="46">
      <c r="A46" s="49" t="n"/>
      <c r="B46" s="49" t="n"/>
      <c r="C46" s="50" t="n"/>
      <c r="D46" s="49" t="n"/>
      <c r="E46" s="36">
        <f>IFERROR(INDEX('Employee Database'!$B$3:$B$202,MATCH(D46,'Employee Database'!$A$3:$A$202,0)),"")</f>
        <v/>
      </c>
      <c r="F46" s="32">
        <f>IFERROR(INDEX('Monthly Payroll'!$R$3:$R$202,MATCH(B46,'Monthly Payroll'!$A$3:$A$202,0)),0)</f>
        <v/>
      </c>
      <c r="G46" s="49" t="n"/>
      <c r="H46" s="50" t="n"/>
      <c r="I46" s="49" t="n"/>
      <c r="J46" s="49" t="n"/>
      <c r="K46" s="49" t="n"/>
      <c r="L46" s="49" t="n"/>
    </row>
    <row r="47">
      <c r="A47" s="49" t="n"/>
      <c r="B47" s="49" t="n"/>
      <c r="C47" s="50" t="n"/>
      <c r="D47" s="49" t="n"/>
      <c r="E47" s="36">
        <f>IFERROR(INDEX('Employee Database'!$B$3:$B$202,MATCH(D47,'Employee Database'!$A$3:$A$202,0)),"")</f>
        <v/>
      </c>
      <c r="F47" s="32">
        <f>IFERROR(INDEX('Monthly Payroll'!$R$3:$R$202,MATCH(B47,'Monthly Payroll'!$A$3:$A$202,0)),0)</f>
        <v/>
      </c>
      <c r="G47" s="49" t="n"/>
      <c r="H47" s="50" t="n"/>
      <c r="I47" s="49" t="n"/>
      <c r="J47" s="49" t="n"/>
      <c r="K47" s="49" t="n"/>
      <c r="L47" s="49" t="n"/>
    </row>
    <row r="48">
      <c r="A48" s="49" t="n"/>
      <c r="B48" s="49" t="n"/>
      <c r="C48" s="50" t="n"/>
      <c r="D48" s="49" t="n"/>
      <c r="E48" s="36">
        <f>IFERROR(INDEX('Employee Database'!$B$3:$B$202,MATCH(D48,'Employee Database'!$A$3:$A$202,0)),"")</f>
        <v/>
      </c>
      <c r="F48" s="32">
        <f>IFERROR(INDEX('Monthly Payroll'!$R$3:$R$202,MATCH(B48,'Monthly Payroll'!$A$3:$A$202,0)),0)</f>
        <v/>
      </c>
      <c r="G48" s="49" t="n"/>
      <c r="H48" s="50" t="n"/>
      <c r="I48" s="49" t="n"/>
      <c r="J48" s="49" t="n"/>
      <c r="K48" s="49" t="n"/>
      <c r="L48" s="49" t="n"/>
    </row>
    <row r="49">
      <c r="A49" s="49" t="n"/>
      <c r="B49" s="49" t="n"/>
      <c r="C49" s="50" t="n"/>
      <c r="D49" s="49" t="n"/>
      <c r="E49" s="36">
        <f>IFERROR(INDEX('Employee Database'!$B$3:$B$202,MATCH(D49,'Employee Database'!$A$3:$A$202,0)),"")</f>
        <v/>
      </c>
      <c r="F49" s="32">
        <f>IFERROR(INDEX('Monthly Payroll'!$R$3:$R$202,MATCH(B49,'Monthly Payroll'!$A$3:$A$202,0)),0)</f>
        <v/>
      </c>
      <c r="G49" s="49" t="n"/>
      <c r="H49" s="50" t="n"/>
      <c r="I49" s="49" t="n"/>
      <c r="J49" s="49" t="n"/>
      <c r="K49" s="49" t="n"/>
      <c r="L49" s="49" t="n"/>
    </row>
    <row r="50">
      <c r="A50" s="49" t="n"/>
      <c r="B50" s="49" t="n"/>
      <c r="C50" s="50" t="n"/>
      <c r="D50" s="49" t="n"/>
      <c r="E50" s="36">
        <f>IFERROR(INDEX('Employee Database'!$B$3:$B$202,MATCH(D50,'Employee Database'!$A$3:$A$202,0)),"")</f>
        <v/>
      </c>
      <c r="F50" s="32">
        <f>IFERROR(INDEX('Monthly Payroll'!$R$3:$R$202,MATCH(B50,'Monthly Payroll'!$A$3:$A$202,0)),0)</f>
        <v/>
      </c>
      <c r="G50" s="49" t="n"/>
      <c r="H50" s="50" t="n"/>
      <c r="I50" s="49" t="n"/>
      <c r="J50" s="49" t="n"/>
      <c r="K50" s="49" t="n"/>
      <c r="L50" s="49" t="n"/>
    </row>
    <row r="51">
      <c r="A51" s="49" t="n"/>
      <c r="B51" s="49" t="n"/>
      <c r="C51" s="50" t="n"/>
      <c r="D51" s="49" t="n"/>
      <c r="E51" s="36">
        <f>IFERROR(INDEX('Employee Database'!$B$3:$B$202,MATCH(D51,'Employee Database'!$A$3:$A$202,0)),"")</f>
        <v/>
      </c>
      <c r="F51" s="32">
        <f>IFERROR(INDEX('Monthly Payroll'!$R$3:$R$202,MATCH(B51,'Monthly Payroll'!$A$3:$A$202,0)),0)</f>
        <v/>
      </c>
      <c r="G51" s="49" t="n"/>
      <c r="H51" s="50" t="n"/>
      <c r="I51" s="49" t="n"/>
      <c r="J51" s="49" t="n"/>
      <c r="K51" s="49" t="n"/>
      <c r="L51" s="49" t="n"/>
    </row>
    <row r="52">
      <c r="A52" s="49" t="n"/>
      <c r="B52" s="49" t="n"/>
      <c r="C52" s="50" t="n"/>
      <c r="D52" s="49" t="n"/>
      <c r="E52" s="36">
        <f>IFERROR(INDEX('Employee Database'!$B$3:$B$202,MATCH(D52,'Employee Database'!$A$3:$A$202,0)),"")</f>
        <v/>
      </c>
      <c r="F52" s="32">
        <f>IFERROR(INDEX('Monthly Payroll'!$R$3:$R$202,MATCH(B52,'Monthly Payroll'!$A$3:$A$202,0)),0)</f>
        <v/>
      </c>
      <c r="G52" s="49" t="n"/>
      <c r="H52" s="50" t="n"/>
      <c r="I52" s="49" t="n"/>
      <c r="J52" s="49" t="n"/>
      <c r="K52" s="49" t="n"/>
      <c r="L52" s="49" t="n"/>
    </row>
    <row r="53">
      <c r="A53" s="49" t="n"/>
      <c r="B53" s="49" t="n"/>
      <c r="C53" s="50" t="n"/>
      <c r="D53" s="49" t="n"/>
      <c r="E53" s="36">
        <f>IFERROR(INDEX('Employee Database'!$B$3:$B$202,MATCH(D53,'Employee Database'!$A$3:$A$202,0)),"")</f>
        <v/>
      </c>
      <c r="F53" s="32">
        <f>IFERROR(INDEX('Monthly Payroll'!$R$3:$R$202,MATCH(B53,'Monthly Payroll'!$A$3:$A$202,0)),0)</f>
        <v/>
      </c>
      <c r="G53" s="49" t="n"/>
      <c r="H53" s="50" t="n"/>
      <c r="I53" s="49" t="n"/>
      <c r="J53" s="49" t="n"/>
      <c r="K53" s="49" t="n"/>
      <c r="L53" s="49" t="n"/>
    </row>
    <row r="54">
      <c r="A54" s="49" t="n"/>
      <c r="B54" s="49" t="n"/>
      <c r="C54" s="50" t="n"/>
      <c r="D54" s="49" t="n"/>
      <c r="E54" s="36">
        <f>IFERROR(INDEX('Employee Database'!$B$3:$B$202,MATCH(D54,'Employee Database'!$A$3:$A$202,0)),"")</f>
        <v/>
      </c>
      <c r="F54" s="32">
        <f>IFERROR(INDEX('Monthly Payroll'!$R$3:$R$202,MATCH(B54,'Monthly Payroll'!$A$3:$A$202,0)),0)</f>
        <v/>
      </c>
      <c r="G54" s="49" t="n"/>
      <c r="H54" s="50" t="n"/>
      <c r="I54" s="49" t="n"/>
      <c r="J54" s="49" t="n"/>
      <c r="K54" s="49" t="n"/>
      <c r="L54" s="49" t="n"/>
    </row>
    <row r="55">
      <c r="A55" s="49" t="n"/>
      <c r="B55" s="49" t="n"/>
      <c r="C55" s="50" t="n"/>
      <c r="D55" s="49" t="n"/>
      <c r="E55" s="36">
        <f>IFERROR(INDEX('Employee Database'!$B$3:$B$202,MATCH(D55,'Employee Database'!$A$3:$A$202,0)),"")</f>
        <v/>
      </c>
      <c r="F55" s="32">
        <f>IFERROR(INDEX('Monthly Payroll'!$R$3:$R$202,MATCH(B55,'Monthly Payroll'!$A$3:$A$202,0)),0)</f>
        <v/>
      </c>
      <c r="G55" s="49" t="n"/>
      <c r="H55" s="50" t="n"/>
      <c r="I55" s="49" t="n"/>
      <c r="J55" s="49" t="n"/>
      <c r="K55" s="49" t="n"/>
      <c r="L55" s="49" t="n"/>
    </row>
    <row r="56">
      <c r="A56" s="49" t="n"/>
      <c r="B56" s="49" t="n"/>
      <c r="C56" s="50" t="n"/>
      <c r="D56" s="49" t="n"/>
      <c r="E56" s="36">
        <f>IFERROR(INDEX('Employee Database'!$B$3:$B$202,MATCH(D56,'Employee Database'!$A$3:$A$202,0)),"")</f>
        <v/>
      </c>
      <c r="F56" s="32">
        <f>IFERROR(INDEX('Monthly Payroll'!$R$3:$R$202,MATCH(B56,'Monthly Payroll'!$A$3:$A$202,0)),0)</f>
        <v/>
      </c>
      <c r="G56" s="49" t="n"/>
      <c r="H56" s="50" t="n"/>
      <c r="I56" s="49" t="n"/>
      <c r="J56" s="49" t="n"/>
      <c r="K56" s="49" t="n"/>
      <c r="L56" s="49" t="n"/>
    </row>
    <row r="57">
      <c r="A57" s="49" t="n"/>
      <c r="B57" s="49" t="n"/>
      <c r="C57" s="50" t="n"/>
      <c r="D57" s="49" t="n"/>
      <c r="E57" s="36">
        <f>IFERROR(INDEX('Employee Database'!$B$3:$B$202,MATCH(D57,'Employee Database'!$A$3:$A$202,0)),"")</f>
        <v/>
      </c>
      <c r="F57" s="32">
        <f>IFERROR(INDEX('Monthly Payroll'!$R$3:$R$202,MATCH(B57,'Monthly Payroll'!$A$3:$A$202,0)),0)</f>
        <v/>
      </c>
      <c r="G57" s="49" t="n"/>
      <c r="H57" s="50" t="n"/>
      <c r="I57" s="49" t="n"/>
      <c r="J57" s="49" t="n"/>
      <c r="K57" s="49" t="n"/>
      <c r="L57" s="49" t="n"/>
    </row>
    <row r="58">
      <c r="A58" s="49" t="n"/>
      <c r="B58" s="49" t="n"/>
      <c r="C58" s="50" t="n"/>
      <c r="D58" s="49" t="n"/>
      <c r="E58" s="36">
        <f>IFERROR(INDEX('Employee Database'!$B$3:$B$202,MATCH(D58,'Employee Database'!$A$3:$A$202,0)),"")</f>
        <v/>
      </c>
      <c r="F58" s="32">
        <f>IFERROR(INDEX('Monthly Payroll'!$R$3:$R$202,MATCH(B58,'Monthly Payroll'!$A$3:$A$202,0)),0)</f>
        <v/>
      </c>
      <c r="G58" s="49" t="n"/>
      <c r="H58" s="50" t="n"/>
      <c r="I58" s="49" t="n"/>
      <c r="J58" s="49" t="n"/>
      <c r="K58" s="49" t="n"/>
      <c r="L58" s="49" t="n"/>
    </row>
    <row r="59">
      <c r="A59" s="49" t="n"/>
      <c r="B59" s="49" t="n"/>
      <c r="C59" s="50" t="n"/>
      <c r="D59" s="49" t="n"/>
      <c r="E59" s="36">
        <f>IFERROR(INDEX('Employee Database'!$B$3:$B$202,MATCH(D59,'Employee Database'!$A$3:$A$202,0)),"")</f>
        <v/>
      </c>
      <c r="F59" s="32">
        <f>IFERROR(INDEX('Monthly Payroll'!$R$3:$R$202,MATCH(B59,'Monthly Payroll'!$A$3:$A$202,0)),0)</f>
        <v/>
      </c>
      <c r="G59" s="49" t="n"/>
      <c r="H59" s="50" t="n"/>
      <c r="I59" s="49" t="n"/>
      <c r="J59" s="49" t="n"/>
      <c r="K59" s="49" t="n"/>
      <c r="L59" s="49" t="n"/>
    </row>
    <row r="60">
      <c r="A60" s="49" t="n"/>
      <c r="B60" s="49" t="n"/>
      <c r="C60" s="50" t="n"/>
      <c r="D60" s="49" t="n"/>
      <c r="E60" s="36">
        <f>IFERROR(INDEX('Employee Database'!$B$3:$B$202,MATCH(D60,'Employee Database'!$A$3:$A$202,0)),"")</f>
        <v/>
      </c>
      <c r="F60" s="32">
        <f>IFERROR(INDEX('Monthly Payroll'!$R$3:$R$202,MATCH(B60,'Monthly Payroll'!$A$3:$A$202,0)),0)</f>
        <v/>
      </c>
      <c r="G60" s="49" t="n"/>
      <c r="H60" s="50" t="n"/>
      <c r="I60" s="49" t="n"/>
      <c r="J60" s="49" t="n"/>
      <c r="K60" s="49" t="n"/>
      <c r="L60" s="49" t="n"/>
    </row>
    <row r="61">
      <c r="A61" s="49" t="n"/>
      <c r="B61" s="49" t="n"/>
      <c r="C61" s="50" t="n"/>
      <c r="D61" s="49" t="n"/>
      <c r="E61" s="36">
        <f>IFERROR(INDEX('Employee Database'!$B$3:$B$202,MATCH(D61,'Employee Database'!$A$3:$A$202,0)),"")</f>
        <v/>
      </c>
      <c r="F61" s="32">
        <f>IFERROR(INDEX('Monthly Payroll'!$R$3:$R$202,MATCH(B61,'Monthly Payroll'!$A$3:$A$202,0)),0)</f>
        <v/>
      </c>
      <c r="G61" s="49" t="n"/>
      <c r="H61" s="50" t="n"/>
      <c r="I61" s="49" t="n"/>
      <c r="J61" s="49" t="n"/>
      <c r="K61" s="49" t="n"/>
      <c r="L61" s="49" t="n"/>
    </row>
    <row r="62">
      <c r="A62" s="49" t="n"/>
      <c r="B62" s="49" t="n"/>
      <c r="C62" s="50" t="n"/>
      <c r="D62" s="49" t="n"/>
      <c r="E62" s="36">
        <f>IFERROR(INDEX('Employee Database'!$B$3:$B$202,MATCH(D62,'Employee Database'!$A$3:$A$202,0)),"")</f>
        <v/>
      </c>
      <c r="F62" s="32">
        <f>IFERROR(INDEX('Monthly Payroll'!$R$3:$R$202,MATCH(B62,'Monthly Payroll'!$A$3:$A$202,0)),0)</f>
        <v/>
      </c>
      <c r="G62" s="49" t="n"/>
      <c r="H62" s="50" t="n"/>
      <c r="I62" s="49" t="n"/>
      <c r="J62" s="49" t="n"/>
      <c r="K62" s="49" t="n"/>
      <c r="L62" s="49" t="n"/>
    </row>
    <row r="63">
      <c r="A63" s="49" t="n"/>
      <c r="B63" s="49" t="n"/>
      <c r="C63" s="50" t="n"/>
      <c r="D63" s="49" t="n"/>
      <c r="E63" s="36">
        <f>IFERROR(INDEX('Employee Database'!$B$3:$B$202,MATCH(D63,'Employee Database'!$A$3:$A$202,0)),"")</f>
        <v/>
      </c>
      <c r="F63" s="32">
        <f>IFERROR(INDEX('Monthly Payroll'!$R$3:$R$202,MATCH(B63,'Monthly Payroll'!$A$3:$A$202,0)),0)</f>
        <v/>
      </c>
      <c r="G63" s="49" t="n"/>
      <c r="H63" s="50" t="n"/>
      <c r="I63" s="49" t="n"/>
      <c r="J63" s="49" t="n"/>
      <c r="K63" s="49" t="n"/>
      <c r="L63" s="49" t="n"/>
    </row>
    <row r="64">
      <c r="A64" s="49" t="n"/>
      <c r="B64" s="49" t="n"/>
      <c r="C64" s="50" t="n"/>
      <c r="D64" s="49" t="n"/>
      <c r="E64" s="36">
        <f>IFERROR(INDEX('Employee Database'!$B$3:$B$202,MATCH(D64,'Employee Database'!$A$3:$A$202,0)),"")</f>
        <v/>
      </c>
      <c r="F64" s="32">
        <f>IFERROR(INDEX('Monthly Payroll'!$R$3:$R$202,MATCH(B64,'Monthly Payroll'!$A$3:$A$202,0)),0)</f>
        <v/>
      </c>
      <c r="G64" s="49" t="n"/>
      <c r="H64" s="50" t="n"/>
      <c r="I64" s="49" t="n"/>
      <c r="J64" s="49" t="n"/>
      <c r="K64" s="49" t="n"/>
      <c r="L64" s="49" t="n"/>
    </row>
    <row r="65">
      <c r="A65" s="49" t="n"/>
      <c r="B65" s="49" t="n"/>
      <c r="C65" s="50" t="n"/>
      <c r="D65" s="49" t="n"/>
      <c r="E65" s="36">
        <f>IFERROR(INDEX('Employee Database'!$B$3:$B$202,MATCH(D65,'Employee Database'!$A$3:$A$202,0)),"")</f>
        <v/>
      </c>
      <c r="F65" s="32">
        <f>IFERROR(INDEX('Monthly Payroll'!$R$3:$R$202,MATCH(B65,'Monthly Payroll'!$A$3:$A$202,0)),0)</f>
        <v/>
      </c>
      <c r="G65" s="49" t="n"/>
      <c r="H65" s="50" t="n"/>
      <c r="I65" s="49" t="n"/>
      <c r="J65" s="49" t="n"/>
      <c r="K65" s="49" t="n"/>
      <c r="L65" s="49" t="n"/>
    </row>
    <row r="66">
      <c r="A66" s="49" t="n"/>
      <c r="B66" s="49" t="n"/>
      <c r="C66" s="50" t="n"/>
      <c r="D66" s="49" t="n"/>
      <c r="E66" s="36">
        <f>IFERROR(INDEX('Employee Database'!$B$3:$B$202,MATCH(D66,'Employee Database'!$A$3:$A$202,0)),"")</f>
        <v/>
      </c>
      <c r="F66" s="32">
        <f>IFERROR(INDEX('Monthly Payroll'!$R$3:$R$202,MATCH(B66,'Monthly Payroll'!$A$3:$A$202,0)),0)</f>
        <v/>
      </c>
      <c r="G66" s="49" t="n"/>
      <c r="H66" s="50" t="n"/>
      <c r="I66" s="49" t="n"/>
      <c r="J66" s="49" t="n"/>
      <c r="K66" s="49" t="n"/>
      <c r="L66" s="49" t="n"/>
    </row>
    <row r="67">
      <c r="A67" s="49" t="n"/>
      <c r="B67" s="49" t="n"/>
      <c r="C67" s="50" t="n"/>
      <c r="D67" s="49" t="n"/>
      <c r="E67" s="36">
        <f>IFERROR(INDEX('Employee Database'!$B$3:$B$202,MATCH(D67,'Employee Database'!$A$3:$A$202,0)),"")</f>
        <v/>
      </c>
      <c r="F67" s="32">
        <f>IFERROR(INDEX('Monthly Payroll'!$R$3:$R$202,MATCH(B67,'Monthly Payroll'!$A$3:$A$202,0)),0)</f>
        <v/>
      </c>
      <c r="G67" s="49" t="n"/>
      <c r="H67" s="50" t="n"/>
      <c r="I67" s="49" t="n"/>
      <c r="J67" s="49" t="n"/>
      <c r="K67" s="49" t="n"/>
      <c r="L67" s="49" t="n"/>
    </row>
    <row r="68">
      <c r="A68" s="49" t="n"/>
      <c r="B68" s="49" t="n"/>
      <c r="C68" s="50" t="n"/>
      <c r="D68" s="49" t="n"/>
      <c r="E68" s="36">
        <f>IFERROR(INDEX('Employee Database'!$B$3:$B$202,MATCH(D68,'Employee Database'!$A$3:$A$202,0)),"")</f>
        <v/>
      </c>
      <c r="F68" s="32">
        <f>IFERROR(INDEX('Monthly Payroll'!$R$3:$R$202,MATCH(B68,'Monthly Payroll'!$A$3:$A$202,0)),0)</f>
        <v/>
      </c>
      <c r="G68" s="49" t="n"/>
      <c r="H68" s="50" t="n"/>
      <c r="I68" s="49" t="n"/>
      <c r="J68" s="49" t="n"/>
      <c r="K68" s="49" t="n"/>
      <c r="L68" s="49" t="n"/>
    </row>
    <row r="69">
      <c r="A69" s="49" t="n"/>
      <c r="B69" s="49" t="n"/>
      <c r="C69" s="50" t="n"/>
      <c r="D69" s="49" t="n"/>
      <c r="E69" s="36">
        <f>IFERROR(INDEX('Employee Database'!$B$3:$B$202,MATCH(D69,'Employee Database'!$A$3:$A$202,0)),"")</f>
        <v/>
      </c>
      <c r="F69" s="32">
        <f>IFERROR(INDEX('Monthly Payroll'!$R$3:$R$202,MATCH(B69,'Monthly Payroll'!$A$3:$A$202,0)),0)</f>
        <v/>
      </c>
      <c r="G69" s="49" t="n"/>
      <c r="H69" s="50" t="n"/>
      <c r="I69" s="49" t="n"/>
      <c r="J69" s="49" t="n"/>
      <c r="K69" s="49" t="n"/>
      <c r="L69" s="49" t="n"/>
    </row>
    <row r="70">
      <c r="A70" s="49" t="n"/>
      <c r="B70" s="49" t="n"/>
      <c r="C70" s="50" t="n"/>
      <c r="D70" s="49" t="n"/>
      <c r="E70" s="36">
        <f>IFERROR(INDEX('Employee Database'!$B$3:$B$202,MATCH(D70,'Employee Database'!$A$3:$A$202,0)),"")</f>
        <v/>
      </c>
      <c r="F70" s="32">
        <f>IFERROR(INDEX('Monthly Payroll'!$R$3:$R$202,MATCH(B70,'Monthly Payroll'!$A$3:$A$202,0)),0)</f>
        <v/>
      </c>
      <c r="G70" s="49" t="n"/>
      <c r="H70" s="50" t="n"/>
      <c r="I70" s="49" t="n"/>
      <c r="J70" s="49" t="n"/>
      <c r="K70" s="49" t="n"/>
      <c r="L70" s="49" t="n"/>
    </row>
    <row r="71">
      <c r="A71" s="49" t="n"/>
      <c r="B71" s="49" t="n"/>
      <c r="C71" s="50" t="n"/>
      <c r="D71" s="49" t="n"/>
      <c r="E71" s="36">
        <f>IFERROR(INDEX('Employee Database'!$B$3:$B$202,MATCH(D71,'Employee Database'!$A$3:$A$202,0)),"")</f>
        <v/>
      </c>
      <c r="F71" s="32">
        <f>IFERROR(INDEX('Monthly Payroll'!$R$3:$R$202,MATCH(B71,'Monthly Payroll'!$A$3:$A$202,0)),0)</f>
        <v/>
      </c>
      <c r="G71" s="49" t="n"/>
      <c r="H71" s="50" t="n"/>
      <c r="I71" s="49" t="n"/>
      <c r="J71" s="49" t="n"/>
      <c r="K71" s="49" t="n"/>
      <c r="L71" s="49" t="n"/>
    </row>
    <row r="72">
      <c r="A72" s="49" t="n"/>
      <c r="B72" s="49" t="n"/>
      <c r="C72" s="50" t="n"/>
      <c r="D72" s="49" t="n"/>
      <c r="E72" s="36">
        <f>IFERROR(INDEX('Employee Database'!$B$3:$B$202,MATCH(D72,'Employee Database'!$A$3:$A$202,0)),"")</f>
        <v/>
      </c>
      <c r="F72" s="32">
        <f>IFERROR(INDEX('Monthly Payroll'!$R$3:$R$202,MATCH(B72,'Monthly Payroll'!$A$3:$A$202,0)),0)</f>
        <v/>
      </c>
      <c r="G72" s="49" t="n"/>
      <c r="H72" s="50" t="n"/>
      <c r="I72" s="49" t="n"/>
      <c r="J72" s="49" t="n"/>
      <c r="K72" s="49" t="n"/>
      <c r="L72" s="49" t="n"/>
    </row>
    <row r="73">
      <c r="A73" s="49" t="n"/>
      <c r="B73" s="49" t="n"/>
      <c r="C73" s="50" t="n"/>
      <c r="D73" s="49" t="n"/>
      <c r="E73" s="36">
        <f>IFERROR(INDEX('Employee Database'!$B$3:$B$202,MATCH(D73,'Employee Database'!$A$3:$A$202,0)),"")</f>
        <v/>
      </c>
      <c r="F73" s="32">
        <f>IFERROR(INDEX('Monthly Payroll'!$R$3:$R$202,MATCH(B73,'Monthly Payroll'!$A$3:$A$202,0)),0)</f>
        <v/>
      </c>
      <c r="G73" s="49" t="n"/>
      <c r="H73" s="50" t="n"/>
      <c r="I73" s="49" t="n"/>
      <c r="J73" s="49" t="n"/>
      <c r="K73" s="49" t="n"/>
      <c r="L73" s="49" t="n"/>
    </row>
    <row r="74">
      <c r="A74" s="49" t="n"/>
      <c r="B74" s="49" t="n"/>
      <c r="C74" s="50" t="n"/>
      <c r="D74" s="49" t="n"/>
      <c r="E74" s="36">
        <f>IFERROR(INDEX('Employee Database'!$B$3:$B$202,MATCH(D74,'Employee Database'!$A$3:$A$202,0)),"")</f>
        <v/>
      </c>
      <c r="F74" s="32">
        <f>IFERROR(INDEX('Monthly Payroll'!$R$3:$R$202,MATCH(B74,'Monthly Payroll'!$A$3:$A$202,0)),0)</f>
        <v/>
      </c>
      <c r="G74" s="49" t="n"/>
      <c r="H74" s="50" t="n"/>
      <c r="I74" s="49" t="n"/>
      <c r="J74" s="49" t="n"/>
      <c r="K74" s="49" t="n"/>
      <c r="L74" s="49" t="n"/>
    </row>
    <row r="75">
      <c r="A75" s="49" t="n"/>
      <c r="B75" s="49" t="n"/>
      <c r="C75" s="50" t="n"/>
      <c r="D75" s="49" t="n"/>
      <c r="E75" s="36">
        <f>IFERROR(INDEX('Employee Database'!$B$3:$B$202,MATCH(D75,'Employee Database'!$A$3:$A$202,0)),"")</f>
        <v/>
      </c>
      <c r="F75" s="32">
        <f>IFERROR(INDEX('Monthly Payroll'!$R$3:$R$202,MATCH(B75,'Monthly Payroll'!$A$3:$A$202,0)),0)</f>
        <v/>
      </c>
      <c r="G75" s="49" t="n"/>
      <c r="H75" s="50" t="n"/>
      <c r="I75" s="49" t="n"/>
      <c r="J75" s="49" t="n"/>
      <c r="K75" s="49" t="n"/>
      <c r="L75" s="49" t="n"/>
    </row>
    <row r="76">
      <c r="A76" s="49" t="n"/>
      <c r="B76" s="49" t="n"/>
      <c r="C76" s="50" t="n"/>
      <c r="D76" s="49" t="n"/>
      <c r="E76" s="36">
        <f>IFERROR(INDEX('Employee Database'!$B$3:$B$202,MATCH(D76,'Employee Database'!$A$3:$A$202,0)),"")</f>
        <v/>
      </c>
      <c r="F76" s="32">
        <f>IFERROR(INDEX('Monthly Payroll'!$R$3:$R$202,MATCH(B76,'Monthly Payroll'!$A$3:$A$202,0)),0)</f>
        <v/>
      </c>
      <c r="G76" s="49" t="n"/>
      <c r="H76" s="50" t="n"/>
      <c r="I76" s="49" t="n"/>
      <c r="J76" s="49" t="n"/>
      <c r="K76" s="49" t="n"/>
      <c r="L76" s="49" t="n"/>
    </row>
    <row r="77">
      <c r="A77" s="49" t="n"/>
      <c r="B77" s="49" t="n"/>
      <c r="C77" s="50" t="n"/>
      <c r="D77" s="49" t="n"/>
      <c r="E77" s="36">
        <f>IFERROR(INDEX('Employee Database'!$B$3:$B$202,MATCH(D77,'Employee Database'!$A$3:$A$202,0)),"")</f>
        <v/>
      </c>
      <c r="F77" s="32">
        <f>IFERROR(INDEX('Monthly Payroll'!$R$3:$R$202,MATCH(B77,'Monthly Payroll'!$A$3:$A$202,0)),0)</f>
        <v/>
      </c>
      <c r="G77" s="49" t="n"/>
      <c r="H77" s="50" t="n"/>
      <c r="I77" s="49" t="n"/>
      <c r="J77" s="49" t="n"/>
      <c r="K77" s="49" t="n"/>
      <c r="L77" s="49" t="n"/>
    </row>
    <row r="78">
      <c r="A78" s="49" t="n"/>
      <c r="B78" s="49" t="n"/>
      <c r="C78" s="50" t="n"/>
      <c r="D78" s="49" t="n"/>
      <c r="E78" s="36">
        <f>IFERROR(INDEX('Employee Database'!$B$3:$B$202,MATCH(D78,'Employee Database'!$A$3:$A$202,0)),"")</f>
        <v/>
      </c>
      <c r="F78" s="32">
        <f>IFERROR(INDEX('Monthly Payroll'!$R$3:$R$202,MATCH(B78,'Monthly Payroll'!$A$3:$A$202,0)),0)</f>
        <v/>
      </c>
      <c r="G78" s="49" t="n"/>
      <c r="H78" s="50" t="n"/>
      <c r="I78" s="49" t="n"/>
      <c r="J78" s="49" t="n"/>
      <c r="K78" s="49" t="n"/>
      <c r="L78" s="49" t="n"/>
    </row>
    <row r="79">
      <c r="A79" s="49" t="n"/>
      <c r="B79" s="49" t="n"/>
      <c r="C79" s="50" t="n"/>
      <c r="D79" s="49" t="n"/>
      <c r="E79" s="36">
        <f>IFERROR(INDEX('Employee Database'!$B$3:$B$202,MATCH(D79,'Employee Database'!$A$3:$A$202,0)),"")</f>
        <v/>
      </c>
      <c r="F79" s="32">
        <f>IFERROR(INDEX('Monthly Payroll'!$R$3:$R$202,MATCH(B79,'Monthly Payroll'!$A$3:$A$202,0)),0)</f>
        <v/>
      </c>
      <c r="G79" s="49" t="n"/>
      <c r="H79" s="50" t="n"/>
      <c r="I79" s="49" t="n"/>
      <c r="J79" s="49" t="n"/>
      <c r="K79" s="49" t="n"/>
      <c r="L79" s="49" t="n"/>
    </row>
    <row r="80">
      <c r="A80" s="49" t="n"/>
      <c r="B80" s="49" t="n"/>
      <c r="C80" s="50" t="n"/>
      <c r="D80" s="49" t="n"/>
      <c r="E80" s="36">
        <f>IFERROR(INDEX('Employee Database'!$B$3:$B$202,MATCH(D80,'Employee Database'!$A$3:$A$202,0)),"")</f>
        <v/>
      </c>
      <c r="F80" s="32">
        <f>IFERROR(INDEX('Monthly Payroll'!$R$3:$R$202,MATCH(B80,'Monthly Payroll'!$A$3:$A$202,0)),0)</f>
        <v/>
      </c>
      <c r="G80" s="49" t="n"/>
      <c r="H80" s="50" t="n"/>
      <c r="I80" s="49" t="n"/>
      <c r="J80" s="49" t="n"/>
      <c r="K80" s="49" t="n"/>
      <c r="L80" s="49" t="n"/>
    </row>
    <row r="81">
      <c r="A81" s="49" t="n"/>
      <c r="B81" s="49" t="n"/>
      <c r="C81" s="50" t="n"/>
      <c r="D81" s="49" t="n"/>
      <c r="E81" s="36">
        <f>IFERROR(INDEX('Employee Database'!$B$3:$B$202,MATCH(D81,'Employee Database'!$A$3:$A$202,0)),"")</f>
        <v/>
      </c>
      <c r="F81" s="32">
        <f>IFERROR(INDEX('Monthly Payroll'!$R$3:$R$202,MATCH(B81,'Monthly Payroll'!$A$3:$A$202,0)),0)</f>
        <v/>
      </c>
      <c r="G81" s="49" t="n"/>
      <c r="H81" s="50" t="n"/>
      <c r="I81" s="49" t="n"/>
      <c r="J81" s="49" t="n"/>
      <c r="K81" s="49" t="n"/>
      <c r="L81" s="49" t="n"/>
    </row>
    <row r="82">
      <c r="A82" s="49" t="n"/>
      <c r="B82" s="49" t="n"/>
      <c r="C82" s="50" t="n"/>
      <c r="D82" s="49" t="n"/>
      <c r="E82" s="36">
        <f>IFERROR(INDEX('Employee Database'!$B$3:$B$202,MATCH(D82,'Employee Database'!$A$3:$A$202,0)),"")</f>
        <v/>
      </c>
      <c r="F82" s="32">
        <f>IFERROR(INDEX('Monthly Payroll'!$R$3:$R$202,MATCH(B82,'Monthly Payroll'!$A$3:$A$202,0)),0)</f>
        <v/>
      </c>
      <c r="G82" s="49" t="n"/>
      <c r="H82" s="50" t="n"/>
      <c r="I82" s="49" t="n"/>
      <c r="J82" s="49" t="n"/>
      <c r="K82" s="49" t="n"/>
      <c r="L82" s="49" t="n"/>
    </row>
    <row r="83">
      <c r="A83" s="49" t="n"/>
      <c r="B83" s="49" t="n"/>
      <c r="C83" s="50" t="n"/>
      <c r="D83" s="49" t="n"/>
      <c r="E83" s="36">
        <f>IFERROR(INDEX('Employee Database'!$B$3:$B$202,MATCH(D83,'Employee Database'!$A$3:$A$202,0)),"")</f>
        <v/>
      </c>
      <c r="F83" s="32">
        <f>IFERROR(INDEX('Monthly Payroll'!$R$3:$R$202,MATCH(B83,'Monthly Payroll'!$A$3:$A$202,0)),0)</f>
        <v/>
      </c>
      <c r="G83" s="49" t="n"/>
      <c r="H83" s="50" t="n"/>
      <c r="I83" s="49" t="n"/>
      <c r="J83" s="49" t="n"/>
      <c r="K83" s="49" t="n"/>
      <c r="L83" s="49" t="n"/>
    </row>
    <row r="84">
      <c r="A84" s="49" t="n"/>
      <c r="B84" s="49" t="n"/>
      <c r="C84" s="50" t="n"/>
      <c r="D84" s="49" t="n"/>
      <c r="E84" s="36">
        <f>IFERROR(INDEX('Employee Database'!$B$3:$B$202,MATCH(D84,'Employee Database'!$A$3:$A$202,0)),"")</f>
        <v/>
      </c>
      <c r="F84" s="32">
        <f>IFERROR(INDEX('Monthly Payroll'!$R$3:$R$202,MATCH(B84,'Monthly Payroll'!$A$3:$A$202,0)),0)</f>
        <v/>
      </c>
      <c r="G84" s="49" t="n"/>
      <c r="H84" s="50" t="n"/>
      <c r="I84" s="49" t="n"/>
      <c r="J84" s="49" t="n"/>
      <c r="K84" s="49" t="n"/>
      <c r="L84" s="49" t="n"/>
    </row>
    <row r="85">
      <c r="A85" s="49" t="n"/>
      <c r="B85" s="49" t="n"/>
      <c r="C85" s="50" t="n"/>
      <c r="D85" s="49" t="n"/>
      <c r="E85" s="36">
        <f>IFERROR(INDEX('Employee Database'!$B$3:$B$202,MATCH(D85,'Employee Database'!$A$3:$A$202,0)),"")</f>
        <v/>
      </c>
      <c r="F85" s="32">
        <f>IFERROR(INDEX('Monthly Payroll'!$R$3:$R$202,MATCH(B85,'Monthly Payroll'!$A$3:$A$202,0)),0)</f>
        <v/>
      </c>
      <c r="G85" s="49" t="n"/>
      <c r="H85" s="50" t="n"/>
      <c r="I85" s="49" t="n"/>
      <c r="J85" s="49" t="n"/>
      <c r="K85" s="49" t="n"/>
      <c r="L85" s="49" t="n"/>
    </row>
    <row r="86">
      <c r="A86" s="49" t="n"/>
      <c r="B86" s="49" t="n"/>
      <c r="C86" s="50" t="n"/>
      <c r="D86" s="49" t="n"/>
      <c r="E86" s="36">
        <f>IFERROR(INDEX('Employee Database'!$B$3:$B$202,MATCH(D86,'Employee Database'!$A$3:$A$202,0)),"")</f>
        <v/>
      </c>
      <c r="F86" s="32">
        <f>IFERROR(INDEX('Monthly Payroll'!$R$3:$R$202,MATCH(B86,'Monthly Payroll'!$A$3:$A$202,0)),0)</f>
        <v/>
      </c>
      <c r="G86" s="49" t="n"/>
      <c r="H86" s="50" t="n"/>
      <c r="I86" s="49" t="n"/>
      <c r="J86" s="49" t="n"/>
      <c r="K86" s="49" t="n"/>
      <c r="L86" s="49" t="n"/>
    </row>
    <row r="87">
      <c r="A87" s="49" t="n"/>
      <c r="B87" s="49" t="n"/>
      <c r="C87" s="50" t="n"/>
      <c r="D87" s="49" t="n"/>
      <c r="E87" s="36">
        <f>IFERROR(INDEX('Employee Database'!$B$3:$B$202,MATCH(D87,'Employee Database'!$A$3:$A$202,0)),"")</f>
        <v/>
      </c>
      <c r="F87" s="32">
        <f>IFERROR(INDEX('Monthly Payroll'!$R$3:$R$202,MATCH(B87,'Monthly Payroll'!$A$3:$A$202,0)),0)</f>
        <v/>
      </c>
      <c r="G87" s="49" t="n"/>
      <c r="H87" s="50" t="n"/>
      <c r="I87" s="49" t="n"/>
      <c r="J87" s="49" t="n"/>
      <c r="K87" s="49" t="n"/>
      <c r="L87" s="49" t="n"/>
    </row>
    <row r="88">
      <c r="A88" s="49" t="n"/>
      <c r="B88" s="49" t="n"/>
      <c r="C88" s="50" t="n"/>
      <c r="D88" s="49" t="n"/>
      <c r="E88" s="36">
        <f>IFERROR(INDEX('Employee Database'!$B$3:$B$202,MATCH(D88,'Employee Database'!$A$3:$A$202,0)),"")</f>
        <v/>
      </c>
      <c r="F88" s="32">
        <f>IFERROR(INDEX('Monthly Payroll'!$R$3:$R$202,MATCH(B88,'Monthly Payroll'!$A$3:$A$202,0)),0)</f>
        <v/>
      </c>
      <c r="G88" s="49" t="n"/>
      <c r="H88" s="50" t="n"/>
      <c r="I88" s="49" t="n"/>
      <c r="J88" s="49" t="n"/>
      <c r="K88" s="49" t="n"/>
      <c r="L88" s="49" t="n"/>
    </row>
    <row r="89">
      <c r="A89" s="49" t="n"/>
      <c r="B89" s="49" t="n"/>
      <c r="C89" s="50" t="n"/>
      <c r="D89" s="49" t="n"/>
      <c r="E89" s="36">
        <f>IFERROR(INDEX('Employee Database'!$B$3:$B$202,MATCH(D89,'Employee Database'!$A$3:$A$202,0)),"")</f>
        <v/>
      </c>
      <c r="F89" s="32">
        <f>IFERROR(INDEX('Monthly Payroll'!$R$3:$R$202,MATCH(B89,'Monthly Payroll'!$A$3:$A$202,0)),0)</f>
        <v/>
      </c>
      <c r="G89" s="49" t="n"/>
      <c r="H89" s="50" t="n"/>
      <c r="I89" s="49" t="n"/>
      <c r="J89" s="49" t="n"/>
      <c r="K89" s="49" t="n"/>
      <c r="L89" s="49" t="n"/>
    </row>
    <row r="90">
      <c r="A90" s="49" t="n"/>
      <c r="B90" s="49" t="n"/>
      <c r="C90" s="50" t="n"/>
      <c r="D90" s="49" t="n"/>
      <c r="E90" s="36">
        <f>IFERROR(INDEX('Employee Database'!$B$3:$B$202,MATCH(D90,'Employee Database'!$A$3:$A$202,0)),"")</f>
        <v/>
      </c>
      <c r="F90" s="32">
        <f>IFERROR(INDEX('Monthly Payroll'!$R$3:$R$202,MATCH(B90,'Monthly Payroll'!$A$3:$A$202,0)),0)</f>
        <v/>
      </c>
      <c r="G90" s="49" t="n"/>
      <c r="H90" s="50" t="n"/>
      <c r="I90" s="49" t="n"/>
      <c r="J90" s="49" t="n"/>
      <c r="K90" s="49" t="n"/>
      <c r="L90" s="49" t="n"/>
    </row>
    <row r="91">
      <c r="A91" s="49" t="n"/>
      <c r="B91" s="49" t="n"/>
      <c r="C91" s="50" t="n"/>
      <c r="D91" s="49" t="n"/>
      <c r="E91" s="36">
        <f>IFERROR(INDEX('Employee Database'!$B$3:$B$202,MATCH(D91,'Employee Database'!$A$3:$A$202,0)),"")</f>
        <v/>
      </c>
      <c r="F91" s="32">
        <f>IFERROR(INDEX('Monthly Payroll'!$R$3:$R$202,MATCH(B91,'Monthly Payroll'!$A$3:$A$202,0)),0)</f>
        <v/>
      </c>
      <c r="G91" s="49" t="n"/>
      <c r="H91" s="50" t="n"/>
      <c r="I91" s="49" t="n"/>
      <c r="J91" s="49" t="n"/>
      <c r="K91" s="49" t="n"/>
      <c r="L91" s="49" t="n"/>
    </row>
    <row r="92">
      <c r="A92" s="49" t="n"/>
      <c r="B92" s="49" t="n"/>
      <c r="C92" s="50" t="n"/>
      <c r="D92" s="49" t="n"/>
      <c r="E92" s="36">
        <f>IFERROR(INDEX('Employee Database'!$B$3:$B$202,MATCH(D92,'Employee Database'!$A$3:$A$202,0)),"")</f>
        <v/>
      </c>
      <c r="F92" s="32">
        <f>IFERROR(INDEX('Monthly Payroll'!$R$3:$R$202,MATCH(B92,'Monthly Payroll'!$A$3:$A$202,0)),0)</f>
        <v/>
      </c>
      <c r="G92" s="49" t="n"/>
      <c r="H92" s="50" t="n"/>
      <c r="I92" s="49" t="n"/>
      <c r="J92" s="49" t="n"/>
      <c r="K92" s="49" t="n"/>
      <c r="L92" s="49" t="n"/>
    </row>
    <row r="93">
      <c r="A93" s="49" t="n"/>
      <c r="B93" s="49" t="n"/>
      <c r="C93" s="50" t="n"/>
      <c r="D93" s="49" t="n"/>
      <c r="E93" s="36">
        <f>IFERROR(INDEX('Employee Database'!$B$3:$B$202,MATCH(D93,'Employee Database'!$A$3:$A$202,0)),"")</f>
        <v/>
      </c>
      <c r="F93" s="32">
        <f>IFERROR(INDEX('Monthly Payroll'!$R$3:$R$202,MATCH(B93,'Monthly Payroll'!$A$3:$A$202,0)),0)</f>
        <v/>
      </c>
      <c r="G93" s="49" t="n"/>
      <c r="H93" s="50" t="n"/>
      <c r="I93" s="49" t="n"/>
      <c r="J93" s="49" t="n"/>
      <c r="K93" s="49" t="n"/>
      <c r="L93" s="49" t="n"/>
    </row>
    <row r="94">
      <c r="A94" s="49" t="n"/>
      <c r="B94" s="49" t="n"/>
      <c r="C94" s="50" t="n"/>
      <c r="D94" s="49" t="n"/>
      <c r="E94" s="36">
        <f>IFERROR(INDEX('Employee Database'!$B$3:$B$202,MATCH(D94,'Employee Database'!$A$3:$A$202,0)),"")</f>
        <v/>
      </c>
      <c r="F94" s="32">
        <f>IFERROR(INDEX('Monthly Payroll'!$R$3:$R$202,MATCH(B94,'Monthly Payroll'!$A$3:$A$202,0)),0)</f>
        <v/>
      </c>
      <c r="G94" s="49" t="n"/>
      <c r="H94" s="50" t="n"/>
      <c r="I94" s="49" t="n"/>
      <c r="J94" s="49" t="n"/>
      <c r="K94" s="49" t="n"/>
      <c r="L94" s="49" t="n"/>
    </row>
    <row r="95">
      <c r="A95" s="49" t="n"/>
      <c r="B95" s="49" t="n"/>
      <c r="C95" s="50" t="n"/>
      <c r="D95" s="49" t="n"/>
      <c r="E95" s="36">
        <f>IFERROR(INDEX('Employee Database'!$B$3:$B$202,MATCH(D95,'Employee Database'!$A$3:$A$202,0)),"")</f>
        <v/>
      </c>
      <c r="F95" s="32">
        <f>IFERROR(INDEX('Monthly Payroll'!$R$3:$R$202,MATCH(B95,'Monthly Payroll'!$A$3:$A$202,0)),0)</f>
        <v/>
      </c>
      <c r="G95" s="49" t="n"/>
      <c r="H95" s="50" t="n"/>
      <c r="I95" s="49" t="n"/>
      <c r="J95" s="49" t="n"/>
      <c r="K95" s="49" t="n"/>
      <c r="L95" s="49" t="n"/>
    </row>
    <row r="96">
      <c r="A96" s="49" t="n"/>
      <c r="B96" s="49" t="n"/>
      <c r="C96" s="50" t="n"/>
      <c r="D96" s="49" t="n"/>
      <c r="E96" s="36">
        <f>IFERROR(INDEX('Employee Database'!$B$3:$B$202,MATCH(D96,'Employee Database'!$A$3:$A$202,0)),"")</f>
        <v/>
      </c>
      <c r="F96" s="32">
        <f>IFERROR(INDEX('Monthly Payroll'!$R$3:$R$202,MATCH(B96,'Monthly Payroll'!$A$3:$A$202,0)),0)</f>
        <v/>
      </c>
      <c r="G96" s="49" t="n"/>
      <c r="H96" s="50" t="n"/>
      <c r="I96" s="49" t="n"/>
      <c r="J96" s="49" t="n"/>
      <c r="K96" s="49" t="n"/>
      <c r="L96" s="49" t="n"/>
    </row>
    <row r="97">
      <c r="A97" s="49" t="n"/>
      <c r="B97" s="49" t="n"/>
      <c r="C97" s="50" t="n"/>
      <c r="D97" s="49" t="n"/>
      <c r="E97" s="36">
        <f>IFERROR(INDEX('Employee Database'!$B$3:$B$202,MATCH(D97,'Employee Database'!$A$3:$A$202,0)),"")</f>
        <v/>
      </c>
      <c r="F97" s="32">
        <f>IFERROR(INDEX('Monthly Payroll'!$R$3:$R$202,MATCH(B97,'Monthly Payroll'!$A$3:$A$202,0)),0)</f>
        <v/>
      </c>
      <c r="G97" s="49" t="n"/>
      <c r="H97" s="50" t="n"/>
      <c r="I97" s="49" t="n"/>
      <c r="J97" s="49" t="n"/>
      <c r="K97" s="49" t="n"/>
      <c r="L97" s="49" t="n"/>
    </row>
    <row r="98">
      <c r="A98" s="49" t="n"/>
      <c r="B98" s="49" t="n"/>
      <c r="C98" s="50" t="n"/>
      <c r="D98" s="49" t="n"/>
      <c r="E98" s="36">
        <f>IFERROR(INDEX('Employee Database'!$B$3:$B$202,MATCH(D98,'Employee Database'!$A$3:$A$202,0)),"")</f>
        <v/>
      </c>
      <c r="F98" s="32">
        <f>IFERROR(INDEX('Monthly Payroll'!$R$3:$R$202,MATCH(B98,'Monthly Payroll'!$A$3:$A$202,0)),0)</f>
        <v/>
      </c>
      <c r="G98" s="49" t="n"/>
      <c r="H98" s="50" t="n"/>
      <c r="I98" s="49" t="n"/>
      <c r="J98" s="49" t="n"/>
      <c r="K98" s="49" t="n"/>
      <c r="L98" s="49" t="n"/>
    </row>
    <row r="99">
      <c r="A99" s="49" t="n"/>
      <c r="B99" s="49" t="n"/>
      <c r="C99" s="50" t="n"/>
      <c r="D99" s="49" t="n"/>
      <c r="E99" s="36">
        <f>IFERROR(INDEX('Employee Database'!$B$3:$B$202,MATCH(D99,'Employee Database'!$A$3:$A$202,0)),"")</f>
        <v/>
      </c>
      <c r="F99" s="32">
        <f>IFERROR(INDEX('Monthly Payroll'!$R$3:$R$202,MATCH(B99,'Monthly Payroll'!$A$3:$A$202,0)),0)</f>
        <v/>
      </c>
      <c r="G99" s="49" t="n"/>
      <c r="H99" s="50" t="n"/>
      <c r="I99" s="49" t="n"/>
      <c r="J99" s="49" t="n"/>
      <c r="K99" s="49" t="n"/>
      <c r="L99" s="49" t="n"/>
    </row>
    <row r="100">
      <c r="A100" s="49" t="n"/>
      <c r="B100" s="49" t="n"/>
      <c r="C100" s="50" t="n"/>
      <c r="D100" s="49" t="n"/>
      <c r="E100" s="36">
        <f>IFERROR(INDEX('Employee Database'!$B$3:$B$202,MATCH(D100,'Employee Database'!$A$3:$A$202,0)),"")</f>
        <v/>
      </c>
      <c r="F100" s="32">
        <f>IFERROR(INDEX('Monthly Payroll'!$R$3:$R$202,MATCH(B100,'Monthly Payroll'!$A$3:$A$202,0)),0)</f>
        <v/>
      </c>
      <c r="G100" s="49" t="n"/>
      <c r="H100" s="50" t="n"/>
      <c r="I100" s="49" t="n"/>
      <c r="J100" s="49" t="n"/>
      <c r="K100" s="49" t="n"/>
      <c r="L100" s="49" t="n"/>
    </row>
    <row r="101">
      <c r="A101" s="49" t="n"/>
      <c r="B101" s="49" t="n"/>
      <c r="C101" s="50" t="n"/>
      <c r="D101" s="49" t="n"/>
      <c r="E101" s="36">
        <f>IFERROR(INDEX('Employee Database'!$B$3:$B$202,MATCH(D101,'Employee Database'!$A$3:$A$202,0)),"")</f>
        <v/>
      </c>
      <c r="F101" s="32">
        <f>IFERROR(INDEX('Monthly Payroll'!$R$3:$R$202,MATCH(B101,'Monthly Payroll'!$A$3:$A$202,0)),0)</f>
        <v/>
      </c>
      <c r="G101" s="49" t="n"/>
      <c r="H101" s="50" t="n"/>
      <c r="I101" s="49" t="n"/>
      <c r="J101" s="49" t="n"/>
      <c r="K101" s="49" t="n"/>
      <c r="L101" s="49" t="n"/>
    </row>
    <row r="102">
      <c r="A102" s="49" t="n"/>
      <c r="B102" s="49" t="n"/>
      <c r="C102" s="50" t="n"/>
      <c r="D102" s="49" t="n"/>
      <c r="E102" s="36">
        <f>IFERROR(INDEX('Employee Database'!$B$3:$B$202,MATCH(D102,'Employee Database'!$A$3:$A$202,0)),"")</f>
        <v/>
      </c>
      <c r="F102" s="32">
        <f>IFERROR(INDEX('Monthly Payroll'!$R$3:$R$202,MATCH(B102,'Monthly Payroll'!$A$3:$A$202,0)),0)</f>
        <v/>
      </c>
      <c r="G102" s="49" t="n"/>
      <c r="H102" s="50" t="n"/>
      <c r="I102" s="49" t="n"/>
      <c r="J102" s="49" t="n"/>
      <c r="K102" s="49" t="n"/>
      <c r="L102" s="49" t="n"/>
    </row>
    <row r="103">
      <c r="A103" s="49" t="n"/>
      <c r="B103" s="49" t="n"/>
      <c r="C103" s="50" t="n"/>
      <c r="D103" s="49" t="n"/>
      <c r="E103" s="36">
        <f>IFERROR(INDEX('Employee Database'!$B$3:$B$202,MATCH(D103,'Employee Database'!$A$3:$A$202,0)),"")</f>
        <v/>
      </c>
      <c r="F103" s="32">
        <f>IFERROR(INDEX('Monthly Payroll'!$R$3:$R$202,MATCH(B103,'Monthly Payroll'!$A$3:$A$202,0)),0)</f>
        <v/>
      </c>
      <c r="G103" s="49" t="n"/>
      <c r="H103" s="50" t="n"/>
      <c r="I103" s="49" t="n"/>
      <c r="J103" s="49" t="n"/>
      <c r="K103" s="49" t="n"/>
      <c r="L103" s="49" t="n"/>
    </row>
    <row r="104">
      <c r="A104" s="49" t="n"/>
      <c r="B104" s="49" t="n"/>
      <c r="C104" s="50" t="n"/>
      <c r="D104" s="49" t="n"/>
      <c r="E104" s="36">
        <f>IFERROR(INDEX('Employee Database'!$B$3:$B$202,MATCH(D104,'Employee Database'!$A$3:$A$202,0)),"")</f>
        <v/>
      </c>
      <c r="F104" s="32">
        <f>IFERROR(INDEX('Monthly Payroll'!$R$3:$R$202,MATCH(B104,'Monthly Payroll'!$A$3:$A$202,0)),0)</f>
        <v/>
      </c>
      <c r="G104" s="49" t="n"/>
      <c r="H104" s="50" t="n"/>
      <c r="I104" s="49" t="n"/>
      <c r="J104" s="49" t="n"/>
      <c r="K104" s="49" t="n"/>
      <c r="L104" s="49" t="n"/>
    </row>
    <row r="105">
      <c r="A105" s="49" t="n"/>
      <c r="B105" s="49" t="n"/>
      <c r="C105" s="50" t="n"/>
      <c r="D105" s="49" t="n"/>
      <c r="E105" s="36">
        <f>IFERROR(INDEX('Employee Database'!$B$3:$B$202,MATCH(D105,'Employee Database'!$A$3:$A$202,0)),"")</f>
        <v/>
      </c>
      <c r="F105" s="32">
        <f>IFERROR(INDEX('Monthly Payroll'!$R$3:$R$202,MATCH(B105,'Monthly Payroll'!$A$3:$A$202,0)),0)</f>
        <v/>
      </c>
      <c r="G105" s="49" t="n"/>
      <c r="H105" s="50" t="n"/>
      <c r="I105" s="49" t="n"/>
      <c r="J105" s="49" t="n"/>
      <c r="K105" s="49" t="n"/>
      <c r="L105" s="49" t="n"/>
    </row>
    <row r="106">
      <c r="A106" s="49" t="n"/>
      <c r="B106" s="49" t="n"/>
      <c r="C106" s="50" t="n"/>
      <c r="D106" s="49" t="n"/>
      <c r="E106" s="36">
        <f>IFERROR(INDEX('Employee Database'!$B$3:$B$202,MATCH(D106,'Employee Database'!$A$3:$A$202,0)),"")</f>
        <v/>
      </c>
      <c r="F106" s="32">
        <f>IFERROR(INDEX('Monthly Payroll'!$R$3:$R$202,MATCH(B106,'Monthly Payroll'!$A$3:$A$202,0)),0)</f>
        <v/>
      </c>
      <c r="G106" s="49" t="n"/>
      <c r="H106" s="50" t="n"/>
      <c r="I106" s="49" t="n"/>
      <c r="J106" s="49" t="n"/>
      <c r="K106" s="49" t="n"/>
      <c r="L106" s="49" t="n"/>
    </row>
    <row r="107">
      <c r="A107" s="49" t="n"/>
      <c r="B107" s="49" t="n"/>
      <c r="C107" s="50" t="n"/>
      <c r="D107" s="49" t="n"/>
      <c r="E107" s="36">
        <f>IFERROR(INDEX('Employee Database'!$B$3:$B$202,MATCH(D107,'Employee Database'!$A$3:$A$202,0)),"")</f>
        <v/>
      </c>
      <c r="F107" s="32">
        <f>IFERROR(INDEX('Monthly Payroll'!$R$3:$R$202,MATCH(B107,'Monthly Payroll'!$A$3:$A$202,0)),0)</f>
        <v/>
      </c>
      <c r="G107" s="49" t="n"/>
      <c r="H107" s="50" t="n"/>
      <c r="I107" s="49" t="n"/>
      <c r="J107" s="49" t="n"/>
      <c r="K107" s="49" t="n"/>
      <c r="L107" s="49" t="n"/>
    </row>
    <row r="108">
      <c r="A108" s="49" t="n"/>
      <c r="B108" s="49" t="n"/>
      <c r="C108" s="50" t="n"/>
      <c r="D108" s="49" t="n"/>
      <c r="E108" s="36">
        <f>IFERROR(INDEX('Employee Database'!$B$3:$B$202,MATCH(D108,'Employee Database'!$A$3:$A$202,0)),"")</f>
        <v/>
      </c>
      <c r="F108" s="32">
        <f>IFERROR(INDEX('Monthly Payroll'!$R$3:$R$202,MATCH(B108,'Monthly Payroll'!$A$3:$A$202,0)),0)</f>
        <v/>
      </c>
      <c r="G108" s="49" t="n"/>
      <c r="H108" s="50" t="n"/>
      <c r="I108" s="49" t="n"/>
      <c r="J108" s="49" t="n"/>
      <c r="K108" s="49" t="n"/>
      <c r="L108" s="49" t="n"/>
    </row>
    <row r="109">
      <c r="A109" s="49" t="n"/>
      <c r="B109" s="49" t="n"/>
      <c r="C109" s="50" t="n"/>
      <c r="D109" s="49" t="n"/>
      <c r="E109" s="36">
        <f>IFERROR(INDEX('Employee Database'!$B$3:$B$202,MATCH(D109,'Employee Database'!$A$3:$A$202,0)),"")</f>
        <v/>
      </c>
      <c r="F109" s="32">
        <f>IFERROR(INDEX('Monthly Payroll'!$R$3:$R$202,MATCH(B109,'Monthly Payroll'!$A$3:$A$202,0)),0)</f>
        <v/>
      </c>
      <c r="G109" s="49" t="n"/>
      <c r="H109" s="50" t="n"/>
      <c r="I109" s="49" t="n"/>
      <c r="J109" s="49" t="n"/>
      <c r="K109" s="49" t="n"/>
      <c r="L109" s="49" t="n"/>
    </row>
    <row r="110">
      <c r="A110" s="49" t="n"/>
      <c r="B110" s="49" t="n"/>
      <c r="C110" s="50" t="n"/>
      <c r="D110" s="49" t="n"/>
      <c r="E110" s="36">
        <f>IFERROR(INDEX('Employee Database'!$B$3:$B$202,MATCH(D110,'Employee Database'!$A$3:$A$202,0)),"")</f>
        <v/>
      </c>
      <c r="F110" s="32">
        <f>IFERROR(INDEX('Monthly Payroll'!$R$3:$R$202,MATCH(B110,'Monthly Payroll'!$A$3:$A$202,0)),0)</f>
        <v/>
      </c>
      <c r="G110" s="49" t="n"/>
      <c r="H110" s="50" t="n"/>
      <c r="I110" s="49" t="n"/>
      <c r="J110" s="49" t="n"/>
      <c r="K110" s="49" t="n"/>
      <c r="L110" s="49" t="n"/>
    </row>
    <row r="111">
      <c r="A111" s="49" t="n"/>
      <c r="B111" s="49" t="n"/>
      <c r="C111" s="50" t="n"/>
      <c r="D111" s="49" t="n"/>
      <c r="E111" s="36">
        <f>IFERROR(INDEX('Employee Database'!$B$3:$B$202,MATCH(D111,'Employee Database'!$A$3:$A$202,0)),"")</f>
        <v/>
      </c>
      <c r="F111" s="32">
        <f>IFERROR(INDEX('Monthly Payroll'!$R$3:$R$202,MATCH(B111,'Monthly Payroll'!$A$3:$A$202,0)),0)</f>
        <v/>
      </c>
      <c r="G111" s="49" t="n"/>
      <c r="H111" s="50" t="n"/>
      <c r="I111" s="49" t="n"/>
      <c r="J111" s="49" t="n"/>
      <c r="K111" s="49" t="n"/>
      <c r="L111" s="49" t="n"/>
    </row>
    <row r="112">
      <c r="A112" s="49" t="n"/>
      <c r="B112" s="49" t="n"/>
      <c r="C112" s="50" t="n"/>
      <c r="D112" s="49" t="n"/>
      <c r="E112" s="36">
        <f>IFERROR(INDEX('Employee Database'!$B$3:$B$202,MATCH(D112,'Employee Database'!$A$3:$A$202,0)),"")</f>
        <v/>
      </c>
      <c r="F112" s="32">
        <f>IFERROR(INDEX('Monthly Payroll'!$R$3:$R$202,MATCH(B112,'Monthly Payroll'!$A$3:$A$202,0)),0)</f>
        <v/>
      </c>
      <c r="G112" s="49" t="n"/>
      <c r="H112" s="50" t="n"/>
      <c r="I112" s="49" t="n"/>
      <c r="J112" s="49" t="n"/>
      <c r="K112" s="49" t="n"/>
      <c r="L112" s="49" t="n"/>
    </row>
    <row r="113">
      <c r="A113" s="49" t="n"/>
      <c r="B113" s="49" t="n"/>
      <c r="C113" s="50" t="n"/>
      <c r="D113" s="49" t="n"/>
      <c r="E113" s="36">
        <f>IFERROR(INDEX('Employee Database'!$B$3:$B$202,MATCH(D113,'Employee Database'!$A$3:$A$202,0)),"")</f>
        <v/>
      </c>
      <c r="F113" s="32">
        <f>IFERROR(INDEX('Monthly Payroll'!$R$3:$R$202,MATCH(B113,'Monthly Payroll'!$A$3:$A$202,0)),0)</f>
        <v/>
      </c>
      <c r="G113" s="49" t="n"/>
      <c r="H113" s="50" t="n"/>
      <c r="I113" s="49" t="n"/>
      <c r="J113" s="49" t="n"/>
      <c r="K113" s="49" t="n"/>
      <c r="L113" s="49" t="n"/>
    </row>
    <row r="114">
      <c r="A114" s="49" t="n"/>
      <c r="B114" s="49" t="n"/>
      <c r="C114" s="50" t="n"/>
      <c r="D114" s="49" t="n"/>
      <c r="E114" s="36">
        <f>IFERROR(INDEX('Employee Database'!$B$3:$B$202,MATCH(D114,'Employee Database'!$A$3:$A$202,0)),"")</f>
        <v/>
      </c>
      <c r="F114" s="32">
        <f>IFERROR(INDEX('Monthly Payroll'!$R$3:$R$202,MATCH(B114,'Monthly Payroll'!$A$3:$A$202,0)),0)</f>
        <v/>
      </c>
      <c r="G114" s="49" t="n"/>
      <c r="H114" s="50" t="n"/>
      <c r="I114" s="49" t="n"/>
      <c r="J114" s="49" t="n"/>
      <c r="K114" s="49" t="n"/>
      <c r="L114" s="49" t="n"/>
    </row>
    <row r="115">
      <c r="A115" s="49" t="n"/>
      <c r="B115" s="49" t="n"/>
      <c r="C115" s="50" t="n"/>
      <c r="D115" s="49" t="n"/>
      <c r="E115" s="36">
        <f>IFERROR(INDEX('Employee Database'!$B$3:$B$202,MATCH(D115,'Employee Database'!$A$3:$A$202,0)),"")</f>
        <v/>
      </c>
      <c r="F115" s="32">
        <f>IFERROR(INDEX('Monthly Payroll'!$R$3:$R$202,MATCH(B115,'Monthly Payroll'!$A$3:$A$202,0)),0)</f>
        <v/>
      </c>
      <c r="G115" s="49" t="n"/>
      <c r="H115" s="50" t="n"/>
      <c r="I115" s="49" t="n"/>
      <c r="J115" s="49" t="n"/>
      <c r="K115" s="49" t="n"/>
      <c r="L115" s="49" t="n"/>
    </row>
    <row r="116">
      <c r="A116" s="49" t="n"/>
      <c r="B116" s="49" t="n"/>
      <c r="C116" s="50" t="n"/>
      <c r="D116" s="49" t="n"/>
      <c r="E116" s="36">
        <f>IFERROR(INDEX('Employee Database'!$B$3:$B$202,MATCH(D116,'Employee Database'!$A$3:$A$202,0)),"")</f>
        <v/>
      </c>
      <c r="F116" s="32">
        <f>IFERROR(INDEX('Monthly Payroll'!$R$3:$R$202,MATCH(B116,'Monthly Payroll'!$A$3:$A$202,0)),0)</f>
        <v/>
      </c>
      <c r="G116" s="49" t="n"/>
      <c r="H116" s="50" t="n"/>
      <c r="I116" s="49" t="n"/>
      <c r="J116" s="49" t="n"/>
      <c r="K116" s="49" t="n"/>
      <c r="L116" s="49" t="n"/>
    </row>
    <row r="117">
      <c r="A117" s="49" t="n"/>
      <c r="B117" s="49" t="n"/>
      <c r="C117" s="50" t="n"/>
      <c r="D117" s="49" t="n"/>
      <c r="E117" s="36">
        <f>IFERROR(INDEX('Employee Database'!$B$3:$B$202,MATCH(D117,'Employee Database'!$A$3:$A$202,0)),"")</f>
        <v/>
      </c>
      <c r="F117" s="32">
        <f>IFERROR(INDEX('Monthly Payroll'!$R$3:$R$202,MATCH(B117,'Monthly Payroll'!$A$3:$A$202,0)),0)</f>
        <v/>
      </c>
      <c r="G117" s="49" t="n"/>
      <c r="H117" s="50" t="n"/>
      <c r="I117" s="49" t="n"/>
      <c r="J117" s="49" t="n"/>
      <c r="K117" s="49" t="n"/>
      <c r="L117" s="49" t="n"/>
    </row>
    <row r="118">
      <c r="A118" s="49" t="n"/>
      <c r="B118" s="49" t="n"/>
      <c r="C118" s="50" t="n"/>
      <c r="D118" s="49" t="n"/>
      <c r="E118" s="36">
        <f>IFERROR(INDEX('Employee Database'!$B$3:$B$202,MATCH(D118,'Employee Database'!$A$3:$A$202,0)),"")</f>
        <v/>
      </c>
      <c r="F118" s="32">
        <f>IFERROR(INDEX('Monthly Payroll'!$R$3:$R$202,MATCH(B118,'Monthly Payroll'!$A$3:$A$202,0)),0)</f>
        <v/>
      </c>
      <c r="G118" s="49" t="n"/>
      <c r="H118" s="50" t="n"/>
      <c r="I118" s="49" t="n"/>
      <c r="J118" s="49" t="n"/>
      <c r="K118" s="49" t="n"/>
      <c r="L118" s="49" t="n"/>
    </row>
    <row r="119">
      <c r="A119" s="49" t="n"/>
      <c r="B119" s="49" t="n"/>
      <c r="C119" s="50" t="n"/>
      <c r="D119" s="49" t="n"/>
      <c r="E119" s="36">
        <f>IFERROR(INDEX('Employee Database'!$B$3:$B$202,MATCH(D119,'Employee Database'!$A$3:$A$202,0)),"")</f>
        <v/>
      </c>
      <c r="F119" s="32">
        <f>IFERROR(INDEX('Monthly Payroll'!$R$3:$R$202,MATCH(B119,'Monthly Payroll'!$A$3:$A$202,0)),0)</f>
        <v/>
      </c>
      <c r="G119" s="49" t="n"/>
      <c r="H119" s="50" t="n"/>
      <c r="I119" s="49" t="n"/>
      <c r="J119" s="49" t="n"/>
      <c r="K119" s="49" t="n"/>
      <c r="L119" s="49" t="n"/>
    </row>
    <row r="120">
      <c r="A120" s="49" t="n"/>
      <c r="B120" s="49" t="n"/>
      <c r="C120" s="50" t="n"/>
      <c r="D120" s="49" t="n"/>
      <c r="E120" s="36">
        <f>IFERROR(INDEX('Employee Database'!$B$3:$B$202,MATCH(D120,'Employee Database'!$A$3:$A$202,0)),"")</f>
        <v/>
      </c>
      <c r="F120" s="32">
        <f>IFERROR(INDEX('Monthly Payroll'!$R$3:$R$202,MATCH(B120,'Monthly Payroll'!$A$3:$A$202,0)),0)</f>
        <v/>
      </c>
      <c r="G120" s="49" t="n"/>
      <c r="H120" s="50" t="n"/>
      <c r="I120" s="49" t="n"/>
      <c r="J120" s="49" t="n"/>
      <c r="K120" s="49" t="n"/>
      <c r="L120" s="49" t="n"/>
    </row>
    <row r="121">
      <c r="A121" s="49" t="n"/>
      <c r="B121" s="49" t="n"/>
      <c r="C121" s="50" t="n"/>
      <c r="D121" s="49" t="n"/>
      <c r="E121" s="36">
        <f>IFERROR(INDEX('Employee Database'!$B$3:$B$202,MATCH(D121,'Employee Database'!$A$3:$A$202,0)),"")</f>
        <v/>
      </c>
      <c r="F121" s="32">
        <f>IFERROR(INDEX('Monthly Payroll'!$R$3:$R$202,MATCH(B121,'Monthly Payroll'!$A$3:$A$202,0)),0)</f>
        <v/>
      </c>
      <c r="G121" s="49" t="n"/>
      <c r="H121" s="50" t="n"/>
      <c r="I121" s="49" t="n"/>
      <c r="J121" s="49" t="n"/>
      <c r="K121" s="49" t="n"/>
      <c r="L121" s="49" t="n"/>
    </row>
    <row r="122">
      <c r="A122" s="49" t="n"/>
      <c r="B122" s="49" t="n"/>
      <c r="C122" s="50" t="n"/>
      <c r="D122" s="49" t="n"/>
      <c r="E122" s="36">
        <f>IFERROR(INDEX('Employee Database'!$B$3:$B$202,MATCH(D122,'Employee Database'!$A$3:$A$202,0)),"")</f>
        <v/>
      </c>
      <c r="F122" s="32">
        <f>IFERROR(INDEX('Monthly Payroll'!$R$3:$R$202,MATCH(B122,'Monthly Payroll'!$A$3:$A$202,0)),0)</f>
        <v/>
      </c>
      <c r="G122" s="49" t="n"/>
      <c r="H122" s="50" t="n"/>
      <c r="I122" s="49" t="n"/>
      <c r="J122" s="49" t="n"/>
      <c r="K122" s="49" t="n"/>
      <c r="L122" s="49" t="n"/>
    </row>
    <row r="123">
      <c r="A123" s="49" t="n"/>
      <c r="B123" s="49" t="n"/>
      <c r="C123" s="50" t="n"/>
      <c r="D123" s="49" t="n"/>
      <c r="E123" s="36">
        <f>IFERROR(INDEX('Employee Database'!$B$3:$B$202,MATCH(D123,'Employee Database'!$A$3:$A$202,0)),"")</f>
        <v/>
      </c>
      <c r="F123" s="32">
        <f>IFERROR(INDEX('Monthly Payroll'!$R$3:$R$202,MATCH(B123,'Monthly Payroll'!$A$3:$A$202,0)),0)</f>
        <v/>
      </c>
      <c r="G123" s="49" t="n"/>
      <c r="H123" s="50" t="n"/>
      <c r="I123" s="49" t="n"/>
      <c r="J123" s="49" t="n"/>
      <c r="K123" s="49" t="n"/>
      <c r="L123" s="49" t="n"/>
    </row>
    <row r="124">
      <c r="A124" s="49" t="n"/>
      <c r="B124" s="49" t="n"/>
      <c r="C124" s="50" t="n"/>
      <c r="D124" s="49" t="n"/>
      <c r="E124" s="36">
        <f>IFERROR(INDEX('Employee Database'!$B$3:$B$202,MATCH(D124,'Employee Database'!$A$3:$A$202,0)),"")</f>
        <v/>
      </c>
      <c r="F124" s="32">
        <f>IFERROR(INDEX('Monthly Payroll'!$R$3:$R$202,MATCH(B124,'Monthly Payroll'!$A$3:$A$202,0)),0)</f>
        <v/>
      </c>
      <c r="G124" s="49" t="n"/>
      <c r="H124" s="50" t="n"/>
      <c r="I124" s="49" t="n"/>
      <c r="J124" s="49" t="n"/>
      <c r="K124" s="49" t="n"/>
      <c r="L124" s="49" t="n"/>
    </row>
    <row r="125">
      <c r="A125" s="49" t="n"/>
      <c r="B125" s="49" t="n"/>
      <c r="C125" s="50" t="n"/>
      <c r="D125" s="49" t="n"/>
      <c r="E125" s="36">
        <f>IFERROR(INDEX('Employee Database'!$B$3:$B$202,MATCH(D125,'Employee Database'!$A$3:$A$202,0)),"")</f>
        <v/>
      </c>
      <c r="F125" s="32">
        <f>IFERROR(INDEX('Monthly Payroll'!$R$3:$R$202,MATCH(B125,'Monthly Payroll'!$A$3:$A$202,0)),0)</f>
        <v/>
      </c>
      <c r="G125" s="49" t="n"/>
      <c r="H125" s="50" t="n"/>
      <c r="I125" s="49" t="n"/>
      <c r="J125" s="49" t="n"/>
      <c r="K125" s="49" t="n"/>
      <c r="L125" s="49" t="n"/>
    </row>
    <row r="126">
      <c r="A126" s="49" t="n"/>
      <c r="B126" s="49" t="n"/>
      <c r="C126" s="50" t="n"/>
      <c r="D126" s="49" t="n"/>
      <c r="E126" s="36">
        <f>IFERROR(INDEX('Employee Database'!$B$3:$B$202,MATCH(D126,'Employee Database'!$A$3:$A$202,0)),"")</f>
        <v/>
      </c>
      <c r="F126" s="32">
        <f>IFERROR(INDEX('Monthly Payroll'!$R$3:$R$202,MATCH(B126,'Monthly Payroll'!$A$3:$A$202,0)),0)</f>
        <v/>
      </c>
      <c r="G126" s="49" t="n"/>
      <c r="H126" s="50" t="n"/>
      <c r="I126" s="49" t="n"/>
      <c r="J126" s="49" t="n"/>
      <c r="K126" s="49" t="n"/>
      <c r="L126" s="49" t="n"/>
    </row>
    <row r="127">
      <c r="A127" s="49" t="n"/>
      <c r="B127" s="49" t="n"/>
      <c r="C127" s="50" t="n"/>
      <c r="D127" s="49" t="n"/>
      <c r="E127" s="36">
        <f>IFERROR(INDEX('Employee Database'!$B$3:$B$202,MATCH(D127,'Employee Database'!$A$3:$A$202,0)),"")</f>
        <v/>
      </c>
      <c r="F127" s="32">
        <f>IFERROR(INDEX('Monthly Payroll'!$R$3:$R$202,MATCH(B127,'Monthly Payroll'!$A$3:$A$202,0)),0)</f>
        <v/>
      </c>
      <c r="G127" s="49" t="n"/>
      <c r="H127" s="50" t="n"/>
      <c r="I127" s="49" t="n"/>
      <c r="J127" s="49" t="n"/>
      <c r="K127" s="49" t="n"/>
      <c r="L127" s="49" t="n"/>
    </row>
    <row r="128">
      <c r="A128" s="49" t="n"/>
      <c r="B128" s="49" t="n"/>
      <c r="C128" s="50" t="n"/>
      <c r="D128" s="49" t="n"/>
      <c r="E128" s="36">
        <f>IFERROR(INDEX('Employee Database'!$B$3:$B$202,MATCH(D128,'Employee Database'!$A$3:$A$202,0)),"")</f>
        <v/>
      </c>
      <c r="F128" s="32">
        <f>IFERROR(INDEX('Monthly Payroll'!$R$3:$R$202,MATCH(B128,'Monthly Payroll'!$A$3:$A$202,0)),0)</f>
        <v/>
      </c>
      <c r="G128" s="49" t="n"/>
      <c r="H128" s="50" t="n"/>
      <c r="I128" s="49" t="n"/>
      <c r="J128" s="49" t="n"/>
      <c r="K128" s="49" t="n"/>
      <c r="L128" s="49" t="n"/>
    </row>
    <row r="129">
      <c r="A129" s="49" t="n"/>
      <c r="B129" s="49" t="n"/>
      <c r="C129" s="50" t="n"/>
      <c r="D129" s="49" t="n"/>
      <c r="E129" s="36">
        <f>IFERROR(INDEX('Employee Database'!$B$3:$B$202,MATCH(D129,'Employee Database'!$A$3:$A$202,0)),"")</f>
        <v/>
      </c>
      <c r="F129" s="32">
        <f>IFERROR(INDEX('Monthly Payroll'!$R$3:$R$202,MATCH(B129,'Monthly Payroll'!$A$3:$A$202,0)),0)</f>
        <v/>
      </c>
      <c r="G129" s="49" t="n"/>
      <c r="H129" s="50" t="n"/>
      <c r="I129" s="49" t="n"/>
      <c r="J129" s="49" t="n"/>
      <c r="K129" s="49" t="n"/>
      <c r="L129" s="49" t="n"/>
    </row>
    <row r="130">
      <c r="A130" s="49" t="n"/>
      <c r="B130" s="49" t="n"/>
      <c r="C130" s="50" t="n"/>
      <c r="D130" s="49" t="n"/>
      <c r="E130" s="36">
        <f>IFERROR(INDEX('Employee Database'!$B$3:$B$202,MATCH(D130,'Employee Database'!$A$3:$A$202,0)),"")</f>
        <v/>
      </c>
      <c r="F130" s="32">
        <f>IFERROR(INDEX('Monthly Payroll'!$R$3:$R$202,MATCH(B130,'Monthly Payroll'!$A$3:$A$202,0)),0)</f>
        <v/>
      </c>
      <c r="G130" s="49" t="n"/>
      <c r="H130" s="50" t="n"/>
      <c r="I130" s="49" t="n"/>
      <c r="J130" s="49" t="n"/>
      <c r="K130" s="49" t="n"/>
      <c r="L130" s="49" t="n"/>
    </row>
    <row r="131">
      <c r="A131" s="49" t="n"/>
      <c r="B131" s="49" t="n"/>
      <c r="C131" s="50" t="n"/>
      <c r="D131" s="49" t="n"/>
      <c r="E131" s="36">
        <f>IFERROR(INDEX('Employee Database'!$B$3:$B$202,MATCH(D131,'Employee Database'!$A$3:$A$202,0)),"")</f>
        <v/>
      </c>
      <c r="F131" s="32">
        <f>IFERROR(INDEX('Monthly Payroll'!$R$3:$R$202,MATCH(B131,'Monthly Payroll'!$A$3:$A$202,0)),0)</f>
        <v/>
      </c>
      <c r="G131" s="49" t="n"/>
      <c r="H131" s="50" t="n"/>
      <c r="I131" s="49" t="n"/>
      <c r="J131" s="49" t="n"/>
      <c r="K131" s="49" t="n"/>
      <c r="L131" s="49" t="n"/>
    </row>
    <row r="132">
      <c r="A132" s="49" t="n"/>
      <c r="B132" s="49" t="n"/>
      <c r="C132" s="50" t="n"/>
      <c r="D132" s="49" t="n"/>
      <c r="E132" s="36">
        <f>IFERROR(INDEX('Employee Database'!$B$3:$B$202,MATCH(D132,'Employee Database'!$A$3:$A$202,0)),"")</f>
        <v/>
      </c>
      <c r="F132" s="32">
        <f>IFERROR(INDEX('Monthly Payroll'!$R$3:$R$202,MATCH(B132,'Monthly Payroll'!$A$3:$A$202,0)),0)</f>
        <v/>
      </c>
      <c r="G132" s="49" t="n"/>
      <c r="H132" s="50" t="n"/>
      <c r="I132" s="49" t="n"/>
      <c r="J132" s="49" t="n"/>
      <c r="K132" s="49" t="n"/>
      <c r="L132" s="49" t="n"/>
    </row>
    <row r="133">
      <c r="A133" s="49" t="n"/>
      <c r="B133" s="49" t="n"/>
      <c r="C133" s="50" t="n"/>
      <c r="D133" s="49" t="n"/>
      <c r="E133" s="36">
        <f>IFERROR(INDEX('Employee Database'!$B$3:$B$202,MATCH(D133,'Employee Database'!$A$3:$A$202,0)),"")</f>
        <v/>
      </c>
      <c r="F133" s="32">
        <f>IFERROR(INDEX('Monthly Payroll'!$R$3:$R$202,MATCH(B133,'Monthly Payroll'!$A$3:$A$202,0)),0)</f>
        <v/>
      </c>
      <c r="G133" s="49" t="n"/>
      <c r="H133" s="50" t="n"/>
      <c r="I133" s="49" t="n"/>
      <c r="J133" s="49" t="n"/>
      <c r="K133" s="49" t="n"/>
      <c r="L133" s="49" t="n"/>
    </row>
    <row r="134">
      <c r="A134" s="49" t="n"/>
      <c r="B134" s="49" t="n"/>
      <c r="C134" s="50" t="n"/>
      <c r="D134" s="49" t="n"/>
      <c r="E134" s="36">
        <f>IFERROR(INDEX('Employee Database'!$B$3:$B$202,MATCH(D134,'Employee Database'!$A$3:$A$202,0)),"")</f>
        <v/>
      </c>
      <c r="F134" s="32">
        <f>IFERROR(INDEX('Monthly Payroll'!$R$3:$R$202,MATCH(B134,'Monthly Payroll'!$A$3:$A$202,0)),0)</f>
        <v/>
      </c>
      <c r="G134" s="49" t="n"/>
      <c r="H134" s="50" t="n"/>
      <c r="I134" s="49" t="n"/>
      <c r="J134" s="49" t="n"/>
      <c r="K134" s="49" t="n"/>
      <c r="L134" s="49" t="n"/>
    </row>
    <row r="135">
      <c r="A135" s="49" t="n"/>
      <c r="B135" s="49" t="n"/>
      <c r="C135" s="50" t="n"/>
      <c r="D135" s="49" t="n"/>
      <c r="E135" s="36">
        <f>IFERROR(INDEX('Employee Database'!$B$3:$B$202,MATCH(D135,'Employee Database'!$A$3:$A$202,0)),"")</f>
        <v/>
      </c>
      <c r="F135" s="32">
        <f>IFERROR(INDEX('Monthly Payroll'!$R$3:$R$202,MATCH(B135,'Monthly Payroll'!$A$3:$A$202,0)),0)</f>
        <v/>
      </c>
      <c r="G135" s="49" t="n"/>
      <c r="H135" s="50" t="n"/>
      <c r="I135" s="49" t="n"/>
      <c r="J135" s="49" t="n"/>
      <c r="K135" s="49" t="n"/>
      <c r="L135" s="49" t="n"/>
    </row>
    <row r="136">
      <c r="A136" s="49" t="n"/>
      <c r="B136" s="49" t="n"/>
      <c r="C136" s="50" t="n"/>
      <c r="D136" s="49" t="n"/>
      <c r="E136" s="36">
        <f>IFERROR(INDEX('Employee Database'!$B$3:$B$202,MATCH(D136,'Employee Database'!$A$3:$A$202,0)),"")</f>
        <v/>
      </c>
      <c r="F136" s="32">
        <f>IFERROR(INDEX('Monthly Payroll'!$R$3:$R$202,MATCH(B136,'Monthly Payroll'!$A$3:$A$202,0)),0)</f>
        <v/>
      </c>
      <c r="G136" s="49" t="n"/>
      <c r="H136" s="50" t="n"/>
      <c r="I136" s="49" t="n"/>
      <c r="J136" s="49" t="n"/>
      <c r="K136" s="49" t="n"/>
      <c r="L136" s="49" t="n"/>
    </row>
    <row r="137">
      <c r="A137" s="49" t="n"/>
      <c r="B137" s="49" t="n"/>
      <c r="C137" s="50" t="n"/>
      <c r="D137" s="49" t="n"/>
      <c r="E137" s="36">
        <f>IFERROR(INDEX('Employee Database'!$B$3:$B$202,MATCH(D137,'Employee Database'!$A$3:$A$202,0)),"")</f>
        <v/>
      </c>
      <c r="F137" s="32">
        <f>IFERROR(INDEX('Monthly Payroll'!$R$3:$R$202,MATCH(B137,'Monthly Payroll'!$A$3:$A$202,0)),0)</f>
        <v/>
      </c>
      <c r="G137" s="49" t="n"/>
      <c r="H137" s="50" t="n"/>
      <c r="I137" s="49" t="n"/>
      <c r="J137" s="49" t="n"/>
      <c r="K137" s="49" t="n"/>
      <c r="L137" s="49" t="n"/>
    </row>
    <row r="138">
      <c r="A138" s="49" t="n"/>
      <c r="B138" s="49" t="n"/>
      <c r="C138" s="50" t="n"/>
      <c r="D138" s="49" t="n"/>
      <c r="E138" s="36">
        <f>IFERROR(INDEX('Employee Database'!$B$3:$B$202,MATCH(D138,'Employee Database'!$A$3:$A$202,0)),"")</f>
        <v/>
      </c>
      <c r="F138" s="32">
        <f>IFERROR(INDEX('Monthly Payroll'!$R$3:$R$202,MATCH(B138,'Monthly Payroll'!$A$3:$A$202,0)),0)</f>
        <v/>
      </c>
      <c r="G138" s="49" t="n"/>
      <c r="H138" s="50" t="n"/>
      <c r="I138" s="49" t="n"/>
      <c r="J138" s="49" t="n"/>
      <c r="K138" s="49" t="n"/>
      <c r="L138" s="49" t="n"/>
    </row>
    <row r="139">
      <c r="A139" s="49" t="n"/>
      <c r="B139" s="49" t="n"/>
      <c r="C139" s="50" t="n"/>
      <c r="D139" s="49" t="n"/>
      <c r="E139" s="36">
        <f>IFERROR(INDEX('Employee Database'!$B$3:$B$202,MATCH(D139,'Employee Database'!$A$3:$A$202,0)),"")</f>
        <v/>
      </c>
      <c r="F139" s="32">
        <f>IFERROR(INDEX('Monthly Payroll'!$R$3:$R$202,MATCH(B139,'Monthly Payroll'!$A$3:$A$202,0)),0)</f>
        <v/>
      </c>
      <c r="G139" s="49" t="n"/>
      <c r="H139" s="50" t="n"/>
      <c r="I139" s="49" t="n"/>
      <c r="J139" s="49" t="n"/>
      <c r="K139" s="49" t="n"/>
      <c r="L139" s="49" t="n"/>
    </row>
    <row r="140">
      <c r="A140" s="49" t="n"/>
      <c r="B140" s="49" t="n"/>
      <c r="C140" s="50" t="n"/>
      <c r="D140" s="49" t="n"/>
      <c r="E140" s="36">
        <f>IFERROR(INDEX('Employee Database'!$B$3:$B$202,MATCH(D140,'Employee Database'!$A$3:$A$202,0)),"")</f>
        <v/>
      </c>
      <c r="F140" s="32">
        <f>IFERROR(INDEX('Monthly Payroll'!$R$3:$R$202,MATCH(B140,'Monthly Payroll'!$A$3:$A$202,0)),0)</f>
        <v/>
      </c>
      <c r="G140" s="49" t="n"/>
      <c r="H140" s="50" t="n"/>
      <c r="I140" s="49" t="n"/>
      <c r="J140" s="49" t="n"/>
      <c r="K140" s="49" t="n"/>
      <c r="L140" s="49" t="n"/>
    </row>
    <row r="141">
      <c r="A141" s="49" t="n"/>
      <c r="B141" s="49" t="n"/>
      <c r="C141" s="50" t="n"/>
      <c r="D141" s="49" t="n"/>
      <c r="E141" s="36">
        <f>IFERROR(INDEX('Employee Database'!$B$3:$B$202,MATCH(D141,'Employee Database'!$A$3:$A$202,0)),"")</f>
        <v/>
      </c>
      <c r="F141" s="32">
        <f>IFERROR(INDEX('Monthly Payroll'!$R$3:$R$202,MATCH(B141,'Monthly Payroll'!$A$3:$A$202,0)),0)</f>
        <v/>
      </c>
      <c r="G141" s="49" t="n"/>
      <c r="H141" s="50" t="n"/>
      <c r="I141" s="49" t="n"/>
      <c r="J141" s="49" t="n"/>
      <c r="K141" s="49" t="n"/>
      <c r="L141" s="49" t="n"/>
    </row>
    <row r="142">
      <c r="A142" s="49" t="n"/>
      <c r="B142" s="49" t="n"/>
      <c r="C142" s="50" t="n"/>
      <c r="D142" s="49" t="n"/>
      <c r="E142" s="36">
        <f>IFERROR(INDEX('Employee Database'!$B$3:$B$202,MATCH(D142,'Employee Database'!$A$3:$A$202,0)),"")</f>
        <v/>
      </c>
      <c r="F142" s="32">
        <f>IFERROR(INDEX('Monthly Payroll'!$R$3:$R$202,MATCH(B142,'Monthly Payroll'!$A$3:$A$202,0)),0)</f>
        <v/>
      </c>
      <c r="G142" s="49" t="n"/>
      <c r="H142" s="50" t="n"/>
      <c r="I142" s="49" t="n"/>
      <c r="J142" s="49" t="n"/>
      <c r="K142" s="49" t="n"/>
      <c r="L142" s="49" t="n"/>
    </row>
    <row r="143">
      <c r="A143" s="49" t="n"/>
      <c r="B143" s="49" t="n"/>
      <c r="C143" s="50" t="n"/>
      <c r="D143" s="49" t="n"/>
      <c r="E143" s="36">
        <f>IFERROR(INDEX('Employee Database'!$B$3:$B$202,MATCH(D143,'Employee Database'!$A$3:$A$202,0)),"")</f>
        <v/>
      </c>
      <c r="F143" s="32">
        <f>IFERROR(INDEX('Monthly Payroll'!$R$3:$R$202,MATCH(B143,'Monthly Payroll'!$A$3:$A$202,0)),0)</f>
        <v/>
      </c>
      <c r="G143" s="49" t="n"/>
      <c r="H143" s="50" t="n"/>
      <c r="I143" s="49" t="n"/>
      <c r="J143" s="49" t="n"/>
      <c r="K143" s="49" t="n"/>
      <c r="L143" s="49" t="n"/>
    </row>
    <row r="144">
      <c r="A144" s="49" t="n"/>
      <c r="B144" s="49" t="n"/>
      <c r="C144" s="50" t="n"/>
      <c r="D144" s="49" t="n"/>
      <c r="E144" s="36">
        <f>IFERROR(INDEX('Employee Database'!$B$3:$B$202,MATCH(D144,'Employee Database'!$A$3:$A$202,0)),"")</f>
        <v/>
      </c>
      <c r="F144" s="32">
        <f>IFERROR(INDEX('Monthly Payroll'!$R$3:$R$202,MATCH(B144,'Monthly Payroll'!$A$3:$A$202,0)),0)</f>
        <v/>
      </c>
      <c r="G144" s="49" t="n"/>
      <c r="H144" s="50" t="n"/>
      <c r="I144" s="49" t="n"/>
      <c r="J144" s="49" t="n"/>
      <c r="K144" s="49" t="n"/>
      <c r="L144" s="49" t="n"/>
    </row>
    <row r="145">
      <c r="A145" s="49" t="n"/>
      <c r="B145" s="49" t="n"/>
      <c r="C145" s="50" t="n"/>
      <c r="D145" s="49" t="n"/>
      <c r="E145" s="36">
        <f>IFERROR(INDEX('Employee Database'!$B$3:$B$202,MATCH(D145,'Employee Database'!$A$3:$A$202,0)),"")</f>
        <v/>
      </c>
      <c r="F145" s="32">
        <f>IFERROR(INDEX('Monthly Payroll'!$R$3:$R$202,MATCH(B145,'Monthly Payroll'!$A$3:$A$202,0)),0)</f>
        <v/>
      </c>
      <c r="G145" s="49" t="n"/>
      <c r="H145" s="50" t="n"/>
      <c r="I145" s="49" t="n"/>
      <c r="J145" s="49" t="n"/>
      <c r="K145" s="49" t="n"/>
      <c r="L145" s="49" t="n"/>
    </row>
    <row r="146">
      <c r="A146" s="49" t="n"/>
      <c r="B146" s="49" t="n"/>
      <c r="C146" s="50" t="n"/>
      <c r="D146" s="49" t="n"/>
      <c r="E146" s="36">
        <f>IFERROR(INDEX('Employee Database'!$B$3:$B$202,MATCH(D146,'Employee Database'!$A$3:$A$202,0)),"")</f>
        <v/>
      </c>
      <c r="F146" s="32">
        <f>IFERROR(INDEX('Monthly Payroll'!$R$3:$R$202,MATCH(B146,'Monthly Payroll'!$A$3:$A$202,0)),0)</f>
        <v/>
      </c>
      <c r="G146" s="49" t="n"/>
      <c r="H146" s="50" t="n"/>
      <c r="I146" s="49" t="n"/>
      <c r="J146" s="49" t="n"/>
      <c r="K146" s="49" t="n"/>
      <c r="L146" s="49" t="n"/>
    </row>
    <row r="147">
      <c r="A147" s="49" t="n"/>
      <c r="B147" s="49" t="n"/>
      <c r="C147" s="50" t="n"/>
      <c r="D147" s="49" t="n"/>
      <c r="E147" s="36">
        <f>IFERROR(INDEX('Employee Database'!$B$3:$B$202,MATCH(D147,'Employee Database'!$A$3:$A$202,0)),"")</f>
        <v/>
      </c>
      <c r="F147" s="32">
        <f>IFERROR(INDEX('Monthly Payroll'!$R$3:$R$202,MATCH(B147,'Monthly Payroll'!$A$3:$A$202,0)),0)</f>
        <v/>
      </c>
      <c r="G147" s="49" t="n"/>
      <c r="H147" s="50" t="n"/>
      <c r="I147" s="49" t="n"/>
      <c r="J147" s="49" t="n"/>
      <c r="K147" s="49" t="n"/>
      <c r="L147" s="49" t="n"/>
    </row>
    <row r="148">
      <c r="A148" s="49" t="n"/>
      <c r="B148" s="49" t="n"/>
      <c r="C148" s="50" t="n"/>
      <c r="D148" s="49" t="n"/>
      <c r="E148" s="36">
        <f>IFERROR(INDEX('Employee Database'!$B$3:$B$202,MATCH(D148,'Employee Database'!$A$3:$A$202,0)),"")</f>
        <v/>
      </c>
      <c r="F148" s="32">
        <f>IFERROR(INDEX('Monthly Payroll'!$R$3:$R$202,MATCH(B148,'Monthly Payroll'!$A$3:$A$202,0)),0)</f>
        <v/>
      </c>
      <c r="G148" s="49" t="n"/>
      <c r="H148" s="50" t="n"/>
      <c r="I148" s="49" t="n"/>
      <c r="J148" s="49" t="n"/>
      <c r="K148" s="49" t="n"/>
      <c r="L148" s="49" t="n"/>
    </row>
    <row r="149">
      <c r="A149" s="49" t="n"/>
      <c r="B149" s="49" t="n"/>
      <c r="C149" s="50" t="n"/>
      <c r="D149" s="49" t="n"/>
      <c r="E149" s="36">
        <f>IFERROR(INDEX('Employee Database'!$B$3:$B$202,MATCH(D149,'Employee Database'!$A$3:$A$202,0)),"")</f>
        <v/>
      </c>
      <c r="F149" s="32">
        <f>IFERROR(INDEX('Monthly Payroll'!$R$3:$R$202,MATCH(B149,'Monthly Payroll'!$A$3:$A$202,0)),0)</f>
        <v/>
      </c>
      <c r="G149" s="49" t="n"/>
      <c r="H149" s="50" t="n"/>
      <c r="I149" s="49" t="n"/>
      <c r="J149" s="49" t="n"/>
      <c r="K149" s="49" t="n"/>
      <c r="L149" s="49" t="n"/>
    </row>
    <row r="150">
      <c r="A150" s="49" t="n"/>
      <c r="B150" s="49" t="n"/>
      <c r="C150" s="50" t="n"/>
      <c r="D150" s="49" t="n"/>
      <c r="E150" s="36">
        <f>IFERROR(INDEX('Employee Database'!$B$3:$B$202,MATCH(D150,'Employee Database'!$A$3:$A$202,0)),"")</f>
        <v/>
      </c>
      <c r="F150" s="32">
        <f>IFERROR(INDEX('Monthly Payroll'!$R$3:$R$202,MATCH(B150,'Monthly Payroll'!$A$3:$A$202,0)),0)</f>
        <v/>
      </c>
      <c r="G150" s="49" t="n"/>
      <c r="H150" s="50" t="n"/>
      <c r="I150" s="49" t="n"/>
      <c r="J150" s="49" t="n"/>
      <c r="K150" s="49" t="n"/>
      <c r="L150" s="49" t="n"/>
    </row>
    <row r="151">
      <c r="A151" s="49" t="n"/>
      <c r="B151" s="49" t="n"/>
      <c r="C151" s="50" t="n"/>
      <c r="D151" s="49" t="n"/>
      <c r="E151" s="36">
        <f>IFERROR(INDEX('Employee Database'!$B$3:$B$202,MATCH(D151,'Employee Database'!$A$3:$A$202,0)),"")</f>
        <v/>
      </c>
      <c r="F151" s="32">
        <f>IFERROR(INDEX('Monthly Payroll'!$R$3:$R$202,MATCH(B151,'Monthly Payroll'!$A$3:$A$202,0)),0)</f>
        <v/>
      </c>
      <c r="G151" s="49" t="n"/>
      <c r="H151" s="50" t="n"/>
      <c r="I151" s="49" t="n"/>
      <c r="J151" s="49" t="n"/>
      <c r="K151" s="49" t="n"/>
      <c r="L151" s="49" t="n"/>
    </row>
    <row r="152">
      <c r="A152" s="49" t="n"/>
      <c r="B152" s="49" t="n"/>
      <c r="C152" s="50" t="n"/>
      <c r="D152" s="49" t="n"/>
      <c r="E152" s="36">
        <f>IFERROR(INDEX('Employee Database'!$B$3:$B$202,MATCH(D152,'Employee Database'!$A$3:$A$202,0)),"")</f>
        <v/>
      </c>
      <c r="F152" s="32">
        <f>IFERROR(INDEX('Monthly Payroll'!$R$3:$R$202,MATCH(B152,'Monthly Payroll'!$A$3:$A$202,0)),0)</f>
        <v/>
      </c>
      <c r="G152" s="49" t="n"/>
      <c r="H152" s="50" t="n"/>
      <c r="I152" s="49" t="n"/>
      <c r="J152" s="49" t="n"/>
      <c r="K152" s="49" t="n"/>
      <c r="L152" s="49" t="n"/>
    </row>
    <row r="153">
      <c r="A153" s="49" t="n"/>
      <c r="B153" s="49" t="n"/>
      <c r="C153" s="50" t="n"/>
      <c r="D153" s="49" t="n"/>
      <c r="E153" s="36">
        <f>IFERROR(INDEX('Employee Database'!$B$3:$B$202,MATCH(D153,'Employee Database'!$A$3:$A$202,0)),"")</f>
        <v/>
      </c>
      <c r="F153" s="32">
        <f>IFERROR(INDEX('Monthly Payroll'!$R$3:$R$202,MATCH(B153,'Monthly Payroll'!$A$3:$A$202,0)),0)</f>
        <v/>
      </c>
      <c r="G153" s="49" t="n"/>
      <c r="H153" s="50" t="n"/>
      <c r="I153" s="49" t="n"/>
      <c r="J153" s="49" t="n"/>
      <c r="K153" s="49" t="n"/>
      <c r="L153" s="49" t="n"/>
    </row>
    <row r="154">
      <c r="A154" s="49" t="n"/>
      <c r="B154" s="49" t="n"/>
      <c r="C154" s="50" t="n"/>
      <c r="D154" s="49" t="n"/>
      <c r="E154" s="36">
        <f>IFERROR(INDEX('Employee Database'!$B$3:$B$202,MATCH(D154,'Employee Database'!$A$3:$A$202,0)),"")</f>
        <v/>
      </c>
      <c r="F154" s="32">
        <f>IFERROR(INDEX('Monthly Payroll'!$R$3:$R$202,MATCH(B154,'Monthly Payroll'!$A$3:$A$202,0)),0)</f>
        <v/>
      </c>
      <c r="G154" s="49" t="n"/>
      <c r="H154" s="50" t="n"/>
      <c r="I154" s="49" t="n"/>
      <c r="J154" s="49" t="n"/>
      <c r="K154" s="49" t="n"/>
      <c r="L154" s="49" t="n"/>
    </row>
    <row r="155">
      <c r="A155" s="49" t="n"/>
      <c r="B155" s="49" t="n"/>
      <c r="C155" s="50" t="n"/>
      <c r="D155" s="49" t="n"/>
      <c r="E155" s="36">
        <f>IFERROR(INDEX('Employee Database'!$B$3:$B$202,MATCH(D155,'Employee Database'!$A$3:$A$202,0)),"")</f>
        <v/>
      </c>
      <c r="F155" s="32">
        <f>IFERROR(INDEX('Monthly Payroll'!$R$3:$R$202,MATCH(B155,'Monthly Payroll'!$A$3:$A$202,0)),0)</f>
        <v/>
      </c>
      <c r="G155" s="49" t="n"/>
      <c r="H155" s="50" t="n"/>
      <c r="I155" s="49" t="n"/>
      <c r="J155" s="49" t="n"/>
      <c r="K155" s="49" t="n"/>
      <c r="L155" s="49" t="n"/>
    </row>
    <row r="156">
      <c r="A156" s="49" t="n"/>
      <c r="B156" s="49" t="n"/>
      <c r="C156" s="50" t="n"/>
      <c r="D156" s="49" t="n"/>
      <c r="E156" s="36">
        <f>IFERROR(INDEX('Employee Database'!$B$3:$B$202,MATCH(D156,'Employee Database'!$A$3:$A$202,0)),"")</f>
        <v/>
      </c>
      <c r="F156" s="32">
        <f>IFERROR(INDEX('Monthly Payroll'!$R$3:$R$202,MATCH(B156,'Monthly Payroll'!$A$3:$A$202,0)),0)</f>
        <v/>
      </c>
      <c r="G156" s="49" t="n"/>
      <c r="H156" s="50" t="n"/>
      <c r="I156" s="49" t="n"/>
      <c r="J156" s="49" t="n"/>
      <c r="K156" s="49" t="n"/>
      <c r="L156" s="49" t="n"/>
    </row>
    <row r="157">
      <c r="A157" s="49" t="n"/>
      <c r="B157" s="49" t="n"/>
      <c r="C157" s="50" t="n"/>
      <c r="D157" s="49" t="n"/>
      <c r="E157" s="36">
        <f>IFERROR(INDEX('Employee Database'!$B$3:$B$202,MATCH(D157,'Employee Database'!$A$3:$A$202,0)),"")</f>
        <v/>
      </c>
      <c r="F157" s="32">
        <f>IFERROR(INDEX('Monthly Payroll'!$R$3:$R$202,MATCH(B157,'Monthly Payroll'!$A$3:$A$202,0)),0)</f>
        <v/>
      </c>
      <c r="G157" s="49" t="n"/>
      <c r="H157" s="50" t="n"/>
      <c r="I157" s="49" t="n"/>
      <c r="J157" s="49" t="n"/>
      <c r="K157" s="49" t="n"/>
      <c r="L157" s="49" t="n"/>
    </row>
    <row r="158">
      <c r="A158" s="49" t="n"/>
      <c r="B158" s="49" t="n"/>
      <c r="C158" s="50" t="n"/>
      <c r="D158" s="49" t="n"/>
      <c r="E158" s="36">
        <f>IFERROR(INDEX('Employee Database'!$B$3:$B$202,MATCH(D158,'Employee Database'!$A$3:$A$202,0)),"")</f>
        <v/>
      </c>
      <c r="F158" s="32">
        <f>IFERROR(INDEX('Monthly Payroll'!$R$3:$R$202,MATCH(B158,'Monthly Payroll'!$A$3:$A$202,0)),0)</f>
        <v/>
      </c>
      <c r="G158" s="49" t="n"/>
      <c r="H158" s="50" t="n"/>
      <c r="I158" s="49" t="n"/>
      <c r="J158" s="49" t="n"/>
      <c r="K158" s="49" t="n"/>
      <c r="L158" s="49" t="n"/>
    </row>
    <row r="159">
      <c r="A159" s="49" t="n"/>
      <c r="B159" s="49" t="n"/>
      <c r="C159" s="50" t="n"/>
      <c r="D159" s="49" t="n"/>
      <c r="E159" s="36">
        <f>IFERROR(INDEX('Employee Database'!$B$3:$B$202,MATCH(D159,'Employee Database'!$A$3:$A$202,0)),"")</f>
        <v/>
      </c>
      <c r="F159" s="32">
        <f>IFERROR(INDEX('Monthly Payroll'!$R$3:$R$202,MATCH(B159,'Monthly Payroll'!$A$3:$A$202,0)),0)</f>
        <v/>
      </c>
      <c r="G159" s="49" t="n"/>
      <c r="H159" s="50" t="n"/>
      <c r="I159" s="49" t="n"/>
      <c r="J159" s="49" t="n"/>
      <c r="K159" s="49" t="n"/>
      <c r="L159" s="49" t="n"/>
    </row>
    <row r="160">
      <c r="A160" s="49" t="n"/>
      <c r="B160" s="49" t="n"/>
      <c r="C160" s="50" t="n"/>
      <c r="D160" s="49" t="n"/>
      <c r="E160" s="36">
        <f>IFERROR(INDEX('Employee Database'!$B$3:$B$202,MATCH(D160,'Employee Database'!$A$3:$A$202,0)),"")</f>
        <v/>
      </c>
      <c r="F160" s="32">
        <f>IFERROR(INDEX('Monthly Payroll'!$R$3:$R$202,MATCH(B160,'Monthly Payroll'!$A$3:$A$202,0)),0)</f>
        <v/>
      </c>
      <c r="G160" s="49" t="n"/>
      <c r="H160" s="50" t="n"/>
      <c r="I160" s="49" t="n"/>
      <c r="J160" s="49" t="n"/>
      <c r="K160" s="49" t="n"/>
      <c r="L160" s="49" t="n"/>
    </row>
    <row r="161">
      <c r="A161" s="49" t="n"/>
      <c r="B161" s="49" t="n"/>
      <c r="C161" s="50" t="n"/>
      <c r="D161" s="49" t="n"/>
      <c r="E161" s="36">
        <f>IFERROR(INDEX('Employee Database'!$B$3:$B$202,MATCH(D161,'Employee Database'!$A$3:$A$202,0)),"")</f>
        <v/>
      </c>
      <c r="F161" s="32">
        <f>IFERROR(INDEX('Monthly Payroll'!$R$3:$R$202,MATCH(B161,'Monthly Payroll'!$A$3:$A$202,0)),0)</f>
        <v/>
      </c>
      <c r="G161" s="49" t="n"/>
      <c r="H161" s="50" t="n"/>
      <c r="I161" s="49" t="n"/>
      <c r="J161" s="49" t="n"/>
      <c r="K161" s="49" t="n"/>
      <c r="L161" s="49" t="n"/>
    </row>
    <row r="162">
      <c r="A162" s="49" t="n"/>
      <c r="B162" s="49" t="n"/>
      <c r="C162" s="50" t="n"/>
      <c r="D162" s="49" t="n"/>
      <c r="E162" s="36">
        <f>IFERROR(INDEX('Employee Database'!$B$3:$B$202,MATCH(D162,'Employee Database'!$A$3:$A$202,0)),"")</f>
        <v/>
      </c>
      <c r="F162" s="32">
        <f>IFERROR(INDEX('Monthly Payroll'!$R$3:$R$202,MATCH(B162,'Monthly Payroll'!$A$3:$A$202,0)),0)</f>
        <v/>
      </c>
      <c r="G162" s="49" t="n"/>
      <c r="H162" s="50" t="n"/>
      <c r="I162" s="49" t="n"/>
      <c r="J162" s="49" t="n"/>
      <c r="K162" s="49" t="n"/>
      <c r="L162" s="49" t="n"/>
    </row>
    <row r="163">
      <c r="A163" s="49" t="n"/>
      <c r="B163" s="49" t="n"/>
      <c r="C163" s="50" t="n"/>
      <c r="D163" s="49" t="n"/>
      <c r="E163" s="36">
        <f>IFERROR(INDEX('Employee Database'!$B$3:$B$202,MATCH(D163,'Employee Database'!$A$3:$A$202,0)),"")</f>
        <v/>
      </c>
      <c r="F163" s="32">
        <f>IFERROR(INDEX('Monthly Payroll'!$R$3:$R$202,MATCH(B163,'Monthly Payroll'!$A$3:$A$202,0)),0)</f>
        <v/>
      </c>
      <c r="G163" s="49" t="n"/>
      <c r="H163" s="50" t="n"/>
      <c r="I163" s="49" t="n"/>
      <c r="J163" s="49" t="n"/>
      <c r="K163" s="49" t="n"/>
      <c r="L163" s="49" t="n"/>
    </row>
    <row r="164">
      <c r="A164" s="49" t="n"/>
      <c r="B164" s="49" t="n"/>
      <c r="C164" s="50" t="n"/>
      <c r="D164" s="49" t="n"/>
      <c r="E164" s="36">
        <f>IFERROR(INDEX('Employee Database'!$B$3:$B$202,MATCH(D164,'Employee Database'!$A$3:$A$202,0)),"")</f>
        <v/>
      </c>
      <c r="F164" s="32">
        <f>IFERROR(INDEX('Monthly Payroll'!$R$3:$R$202,MATCH(B164,'Monthly Payroll'!$A$3:$A$202,0)),0)</f>
        <v/>
      </c>
      <c r="G164" s="49" t="n"/>
      <c r="H164" s="50" t="n"/>
      <c r="I164" s="49" t="n"/>
      <c r="J164" s="49" t="n"/>
      <c r="K164" s="49" t="n"/>
      <c r="L164" s="49" t="n"/>
    </row>
    <row r="165">
      <c r="A165" s="49" t="n"/>
      <c r="B165" s="49" t="n"/>
      <c r="C165" s="50" t="n"/>
      <c r="D165" s="49" t="n"/>
      <c r="E165" s="36">
        <f>IFERROR(INDEX('Employee Database'!$B$3:$B$202,MATCH(D165,'Employee Database'!$A$3:$A$202,0)),"")</f>
        <v/>
      </c>
      <c r="F165" s="32">
        <f>IFERROR(INDEX('Monthly Payroll'!$R$3:$R$202,MATCH(B165,'Monthly Payroll'!$A$3:$A$202,0)),0)</f>
        <v/>
      </c>
      <c r="G165" s="49" t="n"/>
      <c r="H165" s="50" t="n"/>
      <c r="I165" s="49" t="n"/>
      <c r="J165" s="49" t="n"/>
      <c r="K165" s="49" t="n"/>
      <c r="L165" s="49" t="n"/>
    </row>
    <row r="166">
      <c r="A166" s="49" t="n"/>
      <c r="B166" s="49" t="n"/>
      <c r="C166" s="50" t="n"/>
      <c r="D166" s="49" t="n"/>
      <c r="E166" s="36">
        <f>IFERROR(INDEX('Employee Database'!$B$3:$B$202,MATCH(D166,'Employee Database'!$A$3:$A$202,0)),"")</f>
        <v/>
      </c>
      <c r="F166" s="32">
        <f>IFERROR(INDEX('Monthly Payroll'!$R$3:$R$202,MATCH(B166,'Monthly Payroll'!$A$3:$A$202,0)),0)</f>
        <v/>
      </c>
      <c r="G166" s="49" t="n"/>
      <c r="H166" s="50" t="n"/>
      <c r="I166" s="49" t="n"/>
      <c r="J166" s="49" t="n"/>
      <c r="K166" s="49" t="n"/>
      <c r="L166" s="49" t="n"/>
    </row>
    <row r="167">
      <c r="A167" s="49" t="n"/>
      <c r="B167" s="49" t="n"/>
      <c r="C167" s="50" t="n"/>
      <c r="D167" s="49" t="n"/>
      <c r="E167" s="36">
        <f>IFERROR(INDEX('Employee Database'!$B$3:$B$202,MATCH(D167,'Employee Database'!$A$3:$A$202,0)),"")</f>
        <v/>
      </c>
      <c r="F167" s="32">
        <f>IFERROR(INDEX('Monthly Payroll'!$R$3:$R$202,MATCH(B167,'Monthly Payroll'!$A$3:$A$202,0)),0)</f>
        <v/>
      </c>
      <c r="G167" s="49" t="n"/>
      <c r="H167" s="50" t="n"/>
      <c r="I167" s="49" t="n"/>
      <c r="J167" s="49" t="n"/>
      <c r="K167" s="49" t="n"/>
      <c r="L167" s="49" t="n"/>
    </row>
    <row r="168">
      <c r="A168" s="49" t="n"/>
      <c r="B168" s="49" t="n"/>
      <c r="C168" s="50" t="n"/>
      <c r="D168" s="49" t="n"/>
      <c r="E168" s="36">
        <f>IFERROR(INDEX('Employee Database'!$B$3:$B$202,MATCH(D168,'Employee Database'!$A$3:$A$202,0)),"")</f>
        <v/>
      </c>
      <c r="F168" s="32">
        <f>IFERROR(INDEX('Monthly Payroll'!$R$3:$R$202,MATCH(B168,'Monthly Payroll'!$A$3:$A$202,0)),0)</f>
        <v/>
      </c>
      <c r="G168" s="49" t="n"/>
      <c r="H168" s="50" t="n"/>
      <c r="I168" s="49" t="n"/>
      <c r="J168" s="49" t="n"/>
      <c r="K168" s="49" t="n"/>
      <c r="L168" s="49" t="n"/>
    </row>
    <row r="169">
      <c r="A169" s="49" t="n"/>
      <c r="B169" s="49" t="n"/>
      <c r="C169" s="50" t="n"/>
      <c r="D169" s="49" t="n"/>
      <c r="E169" s="36">
        <f>IFERROR(INDEX('Employee Database'!$B$3:$B$202,MATCH(D169,'Employee Database'!$A$3:$A$202,0)),"")</f>
        <v/>
      </c>
      <c r="F169" s="32">
        <f>IFERROR(INDEX('Monthly Payroll'!$R$3:$R$202,MATCH(B169,'Monthly Payroll'!$A$3:$A$202,0)),0)</f>
        <v/>
      </c>
      <c r="G169" s="49" t="n"/>
      <c r="H169" s="50" t="n"/>
      <c r="I169" s="49" t="n"/>
      <c r="J169" s="49" t="n"/>
      <c r="K169" s="49" t="n"/>
      <c r="L169" s="49" t="n"/>
    </row>
    <row r="170">
      <c r="A170" s="49" t="n"/>
      <c r="B170" s="49" t="n"/>
      <c r="C170" s="50" t="n"/>
      <c r="D170" s="49" t="n"/>
      <c r="E170" s="36">
        <f>IFERROR(INDEX('Employee Database'!$B$3:$B$202,MATCH(D170,'Employee Database'!$A$3:$A$202,0)),"")</f>
        <v/>
      </c>
      <c r="F170" s="32">
        <f>IFERROR(INDEX('Monthly Payroll'!$R$3:$R$202,MATCH(B170,'Monthly Payroll'!$A$3:$A$202,0)),0)</f>
        <v/>
      </c>
      <c r="G170" s="49" t="n"/>
      <c r="H170" s="50" t="n"/>
      <c r="I170" s="49" t="n"/>
      <c r="J170" s="49" t="n"/>
      <c r="K170" s="49" t="n"/>
      <c r="L170" s="49" t="n"/>
    </row>
    <row r="171">
      <c r="A171" s="49" t="n"/>
      <c r="B171" s="49" t="n"/>
      <c r="C171" s="50" t="n"/>
      <c r="D171" s="49" t="n"/>
      <c r="E171" s="36">
        <f>IFERROR(INDEX('Employee Database'!$B$3:$B$202,MATCH(D171,'Employee Database'!$A$3:$A$202,0)),"")</f>
        <v/>
      </c>
      <c r="F171" s="32">
        <f>IFERROR(INDEX('Monthly Payroll'!$R$3:$R$202,MATCH(B171,'Monthly Payroll'!$A$3:$A$202,0)),0)</f>
        <v/>
      </c>
      <c r="G171" s="49" t="n"/>
      <c r="H171" s="50" t="n"/>
      <c r="I171" s="49" t="n"/>
      <c r="J171" s="49" t="n"/>
      <c r="K171" s="49" t="n"/>
      <c r="L171" s="49" t="n"/>
    </row>
    <row r="172">
      <c r="A172" s="49" t="n"/>
      <c r="B172" s="49" t="n"/>
      <c r="C172" s="50" t="n"/>
      <c r="D172" s="49" t="n"/>
      <c r="E172" s="36">
        <f>IFERROR(INDEX('Employee Database'!$B$3:$B$202,MATCH(D172,'Employee Database'!$A$3:$A$202,0)),"")</f>
        <v/>
      </c>
      <c r="F172" s="32">
        <f>IFERROR(INDEX('Monthly Payroll'!$R$3:$R$202,MATCH(B172,'Monthly Payroll'!$A$3:$A$202,0)),0)</f>
        <v/>
      </c>
      <c r="G172" s="49" t="n"/>
      <c r="H172" s="50" t="n"/>
      <c r="I172" s="49" t="n"/>
      <c r="J172" s="49" t="n"/>
      <c r="K172" s="49" t="n"/>
      <c r="L172" s="49" t="n"/>
    </row>
    <row r="173">
      <c r="A173" s="49" t="n"/>
      <c r="B173" s="49" t="n"/>
      <c r="C173" s="50" t="n"/>
      <c r="D173" s="49" t="n"/>
      <c r="E173" s="36">
        <f>IFERROR(INDEX('Employee Database'!$B$3:$B$202,MATCH(D173,'Employee Database'!$A$3:$A$202,0)),"")</f>
        <v/>
      </c>
      <c r="F173" s="32">
        <f>IFERROR(INDEX('Monthly Payroll'!$R$3:$R$202,MATCH(B173,'Monthly Payroll'!$A$3:$A$202,0)),0)</f>
        <v/>
      </c>
      <c r="G173" s="49" t="n"/>
      <c r="H173" s="50" t="n"/>
      <c r="I173" s="49" t="n"/>
      <c r="J173" s="49" t="n"/>
      <c r="K173" s="49" t="n"/>
      <c r="L173" s="49" t="n"/>
    </row>
    <row r="174">
      <c r="A174" s="49" t="n"/>
      <c r="B174" s="49" t="n"/>
      <c r="C174" s="50" t="n"/>
      <c r="D174" s="49" t="n"/>
      <c r="E174" s="36">
        <f>IFERROR(INDEX('Employee Database'!$B$3:$B$202,MATCH(D174,'Employee Database'!$A$3:$A$202,0)),"")</f>
        <v/>
      </c>
      <c r="F174" s="32">
        <f>IFERROR(INDEX('Monthly Payroll'!$R$3:$R$202,MATCH(B174,'Monthly Payroll'!$A$3:$A$202,0)),0)</f>
        <v/>
      </c>
      <c r="G174" s="49" t="n"/>
      <c r="H174" s="50" t="n"/>
      <c r="I174" s="49" t="n"/>
      <c r="J174" s="49" t="n"/>
      <c r="K174" s="49" t="n"/>
      <c r="L174" s="49" t="n"/>
    </row>
    <row r="175">
      <c r="A175" s="49" t="n"/>
      <c r="B175" s="49" t="n"/>
      <c r="C175" s="50" t="n"/>
      <c r="D175" s="49" t="n"/>
      <c r="E175" s="36">
        <f>IFERROR(INDEX('Employee Database'!$B$3:$B$202,MATCH(D175,'Employee Database'!$A$3:$A$202,0)),"")</f>
        <v/>
      </c>
      <c r="F175" s="32">
        <f>IFERROR(INDEX('Monthly Payroll'!$R$3:$R$202,MATCH(B175,'Monthly Payroll'!$A$3:$A$202,0)),0)</f>
        <v/>
      </c>
      <c r="G175" s="49" t="n"/>
      <c r="H175" s="50" t="n"/>
      <c r="I175" s="49" t="n"/>
      <c r="J175" s="49" t="n"/>
      <c r="K175" s="49" t="n"/>
      <c r="L175" s="49" t="n"/>
    </row>
    <row r="176">
      <c r="A176" s="49" t="n"/>
      <c r="B176" s="49" t="n"/>
      <c r="C176" s="50" t="n"/>
      <c r="D176" s="49" t="n"/>
      <c r="E176" s="36">
        <f>IFERROR(INDEX('Employee Database'!$B$3:$B$202,MATCH(D176,'Employee Database'!$A$3:$A$202,0)),"")</f>
        <v/>
      </c>
      <c r="F176" s="32">
        <f>IFERROR(INDEX('Monthly Payroll'!$R$3:$R$202,MATCH(B176,'Monthly Payroll'!$A$3:$A$202,0)),0)</f>
        <v/>
      </c>
      <c r="G176" s="49" t="n"/>
      <c r="H176" s="50" t="n"/>
      <c r="I176" s="49" t="n"/>
      <c r="J176" s="49" t="n"/>
      <c r="K176" s="49" t="n"/>
      <c r="L176" s="49" t="n"/>
    </row>
    <row r="177">
      <c r="A177" s="49" t="n"/>
      <c r="B177" s="49" t="n"/>
      <c r="C177" s="50" t="n"/>
      <c r="D177" s="49" t="n"/>
      <c r="E177" s="36">
        <f>IFERROR(INDEX('Employee Database'!$B$3:$B$202,MATCH(D177,'Employee Database'!$A$3:$A$202,0)),"")</f>
        <v/>
      </c>
      <c r="F177" s="32">
        <f>IFERROR(INDEX('Monthly Payroll'!$R$3:$R$202,MATCH(B177,'Monthly Payroll'!$A$3:$A$202,0)),0)</f>
        <v/>
      </c>
      <c r="G177" s="49" t="n"/>
      <c r="H177" s="50" t="n"/>
      <c r="I177" s="49" t="n"/>
      <c r="J177" s="49" t="n"/>
      <c r="K177" s="49" t="n"/>
      <c r="L177" s="49" t="n"/>
    </row>
    <row r="178">
      <c r="A178" s="49" t="n"/>
      <c r="B178" s="49" t="n"/>
      <c r="C178" s="50" t="n"/>
      <c r="D178" s="49" t="n"/>
      <c r="E178" s="36">
        <f>IFERROR(INDEX('Employee Database'!$B$3:$B$202,MATCH(D178,'Employee Database'!$A$3:$A$202,0)),"")</f>
        <v/>
      </c>
      <c r="F178" s="32">
        <f>IFERROR(INDEX('Monthly Payroll'!$R$3:$R$202,MATCH(B178,'Monthly Payroll'!$A$3:$A$202,0)),0)</f>
        <v/>
      </c>
      <c r="G178" s="49" t="n"/>
      <c r="H178" s="50" t="n"/>
      <c r="I178" s="49" t="n"/>
      <c r="J178" s="49" t="n"/>
      <c r="K178" s="49" t="n"/>
      <c r="L178" s="49" t="n"/>
    </row>
    <row r="179">
      <c r="A179" s="49" t="n"/>
      <c r="B179" s="49" t="n"/>
      <c r="C179" s="50" t="n"/>
      <c r="D179" s="49" t="n"/>
      <c r="E179" s="36">
        <f>IFERROR(INDEX('Employee Database'!$B$3:$B$202,MATCH(D179,'Employee Database'!$A$3:$A$202,0)),"")</f>
        <v/>
      </c>
      <c r="F179" s="32">
        <f>IFERROR(INDEX('Monthly Payroll'!$R$3:$R$202,MATCH(B179,'Monthly Payroll'!$A$3:$A$202,0)),0)</f>
        <v/>
      </c>
      <c r="G179" s="49" t="n"/>
      <c r="H179" s="50" t="n"/>
      <c r="I179" s="49" t="n"/>
      <c r="J179" s="49" t="n"/>
      <c r="K179" s="49" t="n"/>
      <c r="L179" s="49" t="n"/>
    </row>
    <row r="180">
      <c r="A180" s="49" t="n"/>
      <c r="B180" s="49" t="n"/>
      <c r="C180" s="50" t="n"/>
      <c r="D180" s="49" t="n"/>
      <c r="E180" s="36">
        <f>IFERROR(INDEX('Employee Database'!$B$3:$B$202,MATCH(D180,'Employee Database'!$A$3:$A$202,0)),"")</f>
        <v/>
      </c>
      <c r="F180" s="32">
        <f>IFERROR(INDEX('Monthly Payroll'!$R$3:$R$202,MATCH(B180,'Monthly Payroll'!$A$3:$A$202,0)),0)</f>
        <v/>
      </c>
      <c r="G180" s="49" t="n"/>
      <c r="H180" s="50" t="n"/>
      <c r="I180" s="49" t="n"/>
      <c r="J180" s="49" t="n"/>
      <c r="K180" s="49" t="n"/>
      <c r="L180" s="49" t="n"/>
    </row>
    <row r="181">
      <c r="A181" s="49" t="n"/>
      <c r="B181" s="49" t="n"/>
      <c r="C181" s="50" t="n"/>
      <c r="D181" s="49" t="n"/>
      <c r="E181" s="36">
        <f>IFERROR(INDEX('Employee Database'!$B$3:$B$202,MATCH(D181,'Employee Database'!$A$3:$A$202,0)),"")</f>
        <v/>
      </c>
      <c r="F181" s="32">
        <f>IFERROR(INDEX('Monthly Payroll'!$R$3:$R$202,MATCH(B181,'Monthly Payroll'!$A$3:$A$202,0)),0)</f>
        <v/>
      </c>
      <c r="G181" s="49" t="n"/>
      <c r="H181" s="50" t="n"/>
      <c r="I181" s="49" t="n"/>
      <c r="J181" s="49" t="n"/>
      <c r="K181" s="49" t="n"/>
      <c r="L181" s="49" t="n"/>
    </row>
    <row r="182">
      <c r="A182" s="49" t="n"/>
      <c r="B182" s="49" t="n"/>
      <c r="C182" s="50" t="n"/>
      <c r="D182" s="49" t="n"/>
      <c r="E182" s="36">
        <f>IFERROR(INDEX('Employee Database'!$B$3:$B$202,MATCH(D182,'Employee Database'!$A$3:$A$202,0)),"")</f>
        <v/>
      </c>
      <c r="F182" s="32">
        <f>IFERROR(INDEX('Monthly Payroll'!$R$3:$R$202,MATCH(B182,'Monthly Payroll'!$A$3:$A$202,0)),0)</f>
        <v/>
      </c>
      <c r="G182" s="49" t="n"/>
      <c r="H182" s="50" t="n"/>
      <c r="I182" s="49" t="n"/>
      <c r="J182" s="49" t="n"/>
      <c r="K182" s="49" t="n"/>
      <c r="L182" s="49" t="n"/>
    </row>
    <row r="183">
      <c r="A183" s="49" t="n"/>
      <c r="B183" s="49" t="n"/>
      <c r="C183" s="50" t="n"/>
      <c r="D183" s="49" t="n"/>
      <c r="E183" s="36">
        <f>IFERROR(INDEX('Employee Database'!$B$3:$B$202,MATCH(D183,'Employee Database'!$A$3:$A$202,0)),"")</f>
        <v/>
      </c>
      <c r="F183" s="32">
        <f>IFERROR(INDEX('Monthly Payroll'!$R$3:$R$202,MATCH(B183,'Monthly Payroll'!$A$3:$A$202,0)),0)</f>
        <v/>
      </c>
      <c r="G183" s="49" t="n"/>
      <c r="H183" s="50" t="n"/>
      <c r="I183" s="49" t="n"/>
      <c r="J183" s="49" t="n"/>
      <c r="K183" s="49" t="n"/>
      <c r="L183" s="49" t="n"/>
    </row>
    <row r="184">
      <c r="A184" s="49" t="n"/>
      <c r="B184" s="49" t="n"/>
      <c r="C184" s="50" t="n"/>
      <c r="D184" s="49" t="n"/>
      <c r="E184" s="36">
        <f>IFERROR(INDEX('Employee Database'!$B$3:$B$202,MATCH(D184,'Employee Database'!$A$3:$A$202,0)),"")</f>
        <v/>
      </c>
      <c r="F184" s="32">
        <f>IFERROR(INDEX('Monthly Payroll'!$R$3:$R$202,MATCH(B184,'Monthly Payroll'!$A$3:$A$202,0)),0)</f>
        <v/>
      </c>
      <c r="G184" s="49" t="n"/>
      <c r="H184" s="50" t="n"/>
      <c r="I184" s="49" t="n"/>
      <c r="J184" s="49" t="n"/>
      <c r="K184" s="49" t="n"/>
      <c r="L184" s="49" t="n"/>
    </row>
    <row r="185">
      <c r="A185" s="49" t="n"/>
      <c r="B185" s="49" t="n"/>
      <c r="C185" s="50" t="n"/>
      <c r="D185" s="49" t="n"/>
      <c r="E185" s="36">
        <f>IFERROR(INDEX('Employee Database'!$B$3:$B$202,MATCH(D185,'Employee Database'!$A$3:$A$202,0)),"")</f>
        <v/>
      </c>
      <c r="F185" s="32">
        <f>IFERROR(INDEX('Monthly Payroll'!$R$3:$R$202,MATCH(B185,'Monthly Payroll'!$A$3:$A$202,0)),0)</f>
        <v/>
      </c>
      <c r="G185" s="49" t="n"/>
      <c r="H185" s="50" t="n"/>
      <c r="I185" s="49" t="n"/>
      <c r="J185" s="49" t="n"/>
      <c r="K185" s="49" t="n"/>
      <c r="L185" s="49" t="n"/>
    </row>
    <row r="186">
      <c r="A186" s="49" t="n"/>
      <c r="B186" s="49" t="n"/>
      <c r="C186" s="50" t="n"/>
      <c r="D186" s="49" t="n"/>
      <c r="E186" s="36">
        <f>IFERROR(INDEX('Employee Database'!$B$3:$B$202,MATCH(D186,'Employee Database'!$A$3:$A$202,0)),"")</f>
        <v/>
      </c>
      <c r="F186" s="32">
        <f>IFERROR(INDEX('Monthly Payroll'!$R$3:$R$202,MATCH(B186,'Monthly Payroll'!$A$3:$A$202,0)),0)</f>
        <v/>
      </c>
      <c r="G186" s="49" t="n"/>
      <c r="H186" s="50" t="n"/>
      <c r="I186" s="49" t="n"/>
      <c r="J186" s="49" t="n"/>
      <c r="K186" s="49" t="n"/>
      <c r="L186" s="49" t="n"/>
    </row>
    <row r="187">
      <c r="A187" s="49" t="n"/>
      <c r="B187" s="49" t="n"/>
      <c r="C187" s="50" t="n"/>
      <c r="D187" s="49" t="n"/>
      <c r="E187" s="36">
        <f>IFERROR(INDEX('Employee Database'!$B$3:$B$202,MATCH(D187,'Employee Database'!$A$3:$A$202,0)),"")</f>
        <v/>
      </c>
      <c r="F187" s="32">
        <f>IFERROR(INDEX('Monthly Payroll'!$R$3:$R$202,MATCH(B187,'Monthly Payroll'!$A$3:$A$202,0)),0)</f>
        <v/>
      </c>
      <c r="G187" s="49" t="n"/>
      <c r="H187" s="50" t="n"/>
      <c r="I187" s="49" t="n"/>
      <c r="J187" s="49" t="n"/>
      <c r="K187" s="49" t="n"/>
      <c r="L187" s="49" t="n"/>
    </row>
    <row r="188">
      <c r="A188" s="49" t="n"/>
      <c r="B188" s="49" t="n"/>
      <c r="C188" s="50" t="n"/>
      <c r="D188" s="49" t="n"/>
      <c r="E188" s="36">
        <f>IFERROR(INDEX('Employee Database'!$B$3:$B$202,MATCH(D188,'Employee Database'!$A$3:$A$202,0)),"")</f>
        <v/>
      </c>
      <c r="F188" s="32">
        <f>IFERROR(INDEX('Monthly Payroll'!$R$3:$R$202,MATCH(B188,'Monthly Payroll'!$A$3:$A$202,0)),0)</f>
        <v/>
      </c>
      <c r="G188" s="49" t="n"/>
      <c r="H188" s="50" t="n"/>
      <c r="I188" s="49" t="n"/>
      <c r="J188" s="49" t="n"/>
      <c r="K188" s="49" t="n"/>
      <c r="L188" s="49" t="n"/>
    </row>
    <row r="189">
      <c r="A189" s="49" t="n"/>
      <c r="B189" s="49" t="n"/>
      <c r="C189" s="50" t="n"/>
      <c r="D189" s="49" t="n"/>
      <c r="E189" s="36">
        <f>IFERROR(INDEX('Employee Database'!$B$3:$B$202,MATCH(D189,'Employee Database'!$A$3:$A$202,0)),"")</f>
        <v/>
      </c>
      <c r="F189" s="32">
        <f>IFERROR(INDEX('Monthly Payroll'!$R$3:$R$202,MATCH(B189,'Monthly Payroll'!$A$3:$A$202,0)),0)</f>
        <v/>
      </c>
      <c r="G189" s="49" t="n"/>
      <c r="H189" s="50" t="n"/>
      <c r="I189" s="49" t="n"/>
      <c r="J189" s="49" t="n"/>
      <c r="K189" s="49" t="n"/>
      <c r="L189" s="49" t="n"/>
    </row>
    <row r="190">
      <c r="A190" s="49" t="n"/>
      <c r="B190" s="49" t="n"/>
      <c r="C190" s="50" t="n"/>
      <c r="D190" s="49" t="n"/>
      <c r="E190" s="36">
        <f>IFERROR(INDEX('Employee Database'!$B$3:$B$202,MATCH(D190,'Employee Database'!$A$3:$A$202,0)),"")</f>
        <v/>
      </c>
      <c r="F190" s="32">
        <f>IFERROR(INDEX('Monthly Payroll'!$R$3:$R$202,MATCH(B190,'Monthly Payroll'!$A$3:$A$202,0)),0)</f>
        <v/>
      </c>
      <c r="G190" s="49" t="n"/>
      <c r="H190" s="50" t="n"/>
      <c r="I190" s="49" t="n"/>
      <c r="J190" s="49" t="n"/>
      <c r="K190" s="49" t="n"/>
      <c r="L190" s="49" t="n"/>
    </row>
    <row r="191">
      <c r="A191" s="49" t="n"/>
      <c r="B191" s="49" t="n"/>
      <c r="C191" s="50" t="n"/>
      <c r="D191" s="49" t="n"/>
      <c r="E191" s="36">
        <f>IFERROR(INDEX('Employee Database'!$B$3:$B$202,MATCH(D191,'Employee Database'!$A$3:$A$202,0)),"")</f>
        <v/>
      </c>
      <c r="F191" s="32">
        <f>IFERROR(INDEX('Monthly Payroll'!$R$3:$R$202,MATCH(B191,'Monthly Payroll'!$A$3:$A$202,0)),0)</f>
        <v/>
      </c>
      <c r="G191" s="49" t="n"/>
      <c r="H191" s="50" t="n"/>
      <c r="I191" s="49" t="n"/>
      <c r="J191" s="49" t="n"/>
      <c r="K191" s="49" t="n"/>
      <c r="L191" s="49" t="n"/>
    </row>
    <row r="192">
      <c r="A192" s="49" t="n"/>
      <c r="B192" s="49" t="n"/>
      <c r="C192" s="50" t="n"/>
      <c r="D192" s="49" t="n"/>
      <c r="E192" s="36">
        <f>IFERROR(INDEX('Employee Database'!$B$3:$B$202,MATCH(D192,'Employee Database'!$A$3:$A$202,0)),"")</f>
        <v/>
      </c>
      <c r="F192" s="32">
        <f>IFERROR(INDEX('Monthly Payroll'!$R$3:$R$202,MATCH(B192,'Monthly Payroll'!$A$3:$A$202,0)),0)</f>
        <v/>
      </c>
      <c r="G192" s="49" t="n"/>
      <c r="H192" s="50" t="n"/>
      <c r="I192" s="49" t="n"/>
      <c r="J192" s="49" t="n"/>
      <c r="K192" s="49" t="n"/>
      <c r="L192" s="49" t="n"/>
    </row>
    <row r="193">
      <c r="A193" s="49" t="n"/>
      <c r="B193" s="49" t="n"/>
      <c r="C193" s="50" t="n"/>
      <c r="D193" s="49" t="n"/>
      <c r="E193" s="36">
        <f>IFERROR(INDEX('Employee Database'!$B$3:$B$202,MATCH(D193,'Employee Database'!$A$3:$A$202,0)),"")</f>
        <v/>
      </c>
      <c r="F193" s="32">
        <f>IFERROR(INDEX('Monthly Payroll'!$R$3:$R$202,MATCH(B193,'Monthly Payroll'!$A$3:$A$202,0)),0)</f>
        <v/>
      </c>
      <c r="G193" s="49" t="n"/>
      <c r="H193" s="50" t="n"/>
      <c r="I193" s="49" t="n"/>
      <c r="J193" s="49" t="n"/>
      <c r="K193" s="49" t="n"/>
      <c r="L193" s="49" t="n"/>
    </row>
    <row r="194">
      <c r="A194" s="49" t="n"/>
      <c r="B194" s="49" t="n"/>
      <c r="C194" s="50" t="n"/>
      <c r="D194" s="49" t="n"/>
      <c r="E194" s="36">
        <f>IFERROR(INDEX('Employee Database'!$B$3:$B$202,MATCH(D194,'Employee Database'!$A$3:$A$202,0)),"")</f>
        <v/>
      </c>
      <c r="F194" s="32">
        <f>IFERROR(INDEX('Monthly Payroll'!$R$3:$R$202,MATCH(B194,'Monthly Payroll'!$A$3:$A$202,0)),0)</f>
        <v/>
      </c>
      <c r="G194" s="49" t="n"/>
      <c r="H194" s="50" t="n"/>
      <c r="I194" s="49" t="n"/>
      <c r="J194" s="49" t="n"/>
      <c r="K194" s="49" t="n"/>
      <c r="L194" s="49" t="n"/>
    </row>
    <row r="195">
      <c r="A195" s="49" t="n"/>
      <c r="B195" s="49" t="n"/>
      <c r="C195" s="50" t="n"/>
      <c r="D195" s="49" t="n"/>
      <c r="E195" s="36">
        <f>IFERROR(INDEX('Employee Database'!$B$3:$B$202,MATCH(D195,'Employee Database'!$A$3:$A$202,0)),"")</f>
        <v/>
      </c>
      <c r="F195" s="32">
        <f>IFERROR(INDEX('Monthly Payroll'!$R$3:$R$202,MATCH(B195,'Monthly Payroll'!$A$3:$A$202,0)),0)</f>
        <v/>
      </c>
      <c r="G195" s="49" t="n"/>
      <c r="H195" s="50" t="n"/>
      <c r="I195" s="49" t="n"/>
      <c r="J195" s="49" t="n"/>
      <c r="K195" s="49" t="n"/>
      <c r="L195" s="49" t="n"/>
    </row>
    <row r="196">
      <c r="A196" s="49" t="n"/>
      <c r="B196" s="49" t="n"/>
      <c r="C196" s="50" t="n"/>
      <c r="D196" s="49" t="n"/>
      <c r="E196" s="36">
        <f>IFERROR(INDEX('Employee Database'!$B$3:$B$202,MATCH(D196,'Employee Database'!$A$3:$A$202,0)),"")</f>
        <v/>
      </c>
      <c r="F196" s="32">
        <f>IFERROR(INDEX('Monthly Payroll'!$R$3:$R$202,MATCH(B196,'Monthly Payroll'!$A$3:$A$202,0)),0)</f>
        <v/>
      </c>
      <c r="G196" s="49" t="n"/>
      <c r="H196" s="50" t="n"/>
      <c r="I196" s="49" t="n"/>
      <c r="J196" s="49" t="n"/>
      <c r="K196" s="49" t="n"/>
      <c r="L196" s="49" t="n"/>
    </row>
    <row r="197">
      <c r="A197" s="49" t="n"/>
      <c r="B197" s="49" t="n"/>
      <c r="C197" s="50" t="n"/>
      <c r="D197" s="49" t="n"/>
      <c r="E197" s="36">
        <f>IFERROR(INDEX('Employee Database'!$B$3:$B$202,MATCH(D197,'Employee Database'!$A$3:$A$202,0)),"")</f>
        <v/>
      </c>
      <c r="F197" s="32">
        <f>IFERROR(INDEX('Monthly Payroll'!$R$3:$R$202,MATCH(B197,'Monthly Payroll'!$A$3:$A$202,0)),0)</f>
        <v/>
      </c>
      <c r="G197" s="49" t="n"/>
      <c r="H197" s="50" t="n"/>
      <c r="I197" s="49" t="n"/>
      <c r="J197" s="49" t="n"/>
      <c r="K197" s="49" t="n"/>
      <c r="L197" s="49" t="n"/>
    </row>
    <row r="198">
      <c r="A198" s="49" t="n"/>
      <c r="B198" s="49" t="n"/>
      <c r="C198" s="50" t="n"/>
      <c r="D198" s="49" t="n"/>
      <c r="E198" s="36">
        <f>IFERROR(INDEX('Employee Database'!$B$3:$B$202,MATCH(D198,'Employee Database'!$A$3:$A$202,0)),"")</f>
        <v/>
      </c>
      <c r="F198" s="32">
        <f>IFERROR(INDEX('Monthly Payroll'!$R$3:$R$202,MATCH(B198,'Monthly Payroll'!$A$3:$A$202,0)),0)</f>
        <v/>
      </c>
      <c r="G198" s="49" t="n"/>
      <c r="H198" s="50" t="n"/>
      <c r="I198" s="49" t="n"/>
      <c r="J198" s="49" t="n"/>
      <c r="K198" s="49" t="n"/>
      <c r="L198" s="49" t="n"/>
    </row>
    <row r="199">
      <c r="A199" s="49" t="n"/>
      <c r="B199" s="49" t="n"/>
      <c r="C199" s="50" t="n"/>
      <c r="D199" s="49" t="n"/>
      <c r="E199" s="36">
        <f>IFERROR(INDEX('Employee Database'!$B$3:$B$202,MATCH(D199,'Employee Database'!$A$3:$A$202,0)),"")</f>
        <v/>
      </c>
      <c r="F199" s="32">
        <f>IFERROR(INDEX('Monthly Payroll'!$R$3:$R$202,MATCH(B199,'Monthly Payroll'!$A$3:$A$202,0)),0)</f>
        <v/>
      </c>
      <c r="G199" s="49" t="n"/>
      <c r="H199" s="50" t="n"/>
      <c r="I199" s="49" t="n"/>
      <c r="J199" s="49" t="n"/>
      <c r="K199" s="49" t="n"/>
      <c r="L199" s="49" t="n"/>
    </row>
    <row r="200">
      <c r="A200" s="49" t="n"/>
      <c r="B200" s="49" t="n"/>
      <c r="C200" s="50" t="n"/>
      <c r="D200" s="49" t="n"/>
      <c r="E200" s="36">
        <f>IFERROR(INDEX('Employee Database'!$B$3:$B$202,MATCH(D200,'Employee Database'!$A$3:$A$202,0)),"")</f>
        <v/>
      </c>
      <c r="F200" s="32">
        <f>IFERROR(INDEX('Monthly Payroll'!$R$3:$R$202,MATCH(B200,'Monthly Payroll'!$A$3:$A$202,0)),0)</f>
        <v/>
      </c>
      <c r="G200" s="49" t="n"/>
      <c r="H200" s="50" t="n"/>
      <c r="I200" s="49" t="n"/>
      <c r="J200" s="49" t="n"/>
      <c r="K200" s="49" t="n"/>
      <c r="L200" s="49" t="n"/>
    </row>
    <row r="201">
      <c r="A201" s="49" t="n"/>
      <c r="B201" s="49" t="n"/>
      <c r="C201" s="50" t="n"/>
      <c r="D201" s="49" t="n"/>
      <c r="E201" s="36">
        <f>IFERROR(INDEX('Employee Database'!$B$3:$B$202,MATCH(D201,'Employee Database'!$A$3:$A$202,0)),"")</f>
        <v/>
      </c>
      <c r="F201" s="32">
        <f>IFERROR(INDEX('Monthly Payroll'!$R$3:$R$202,MATCH(B201,'Monthly Payroll'!$A$3:$A$202,0)),0)</f>
        <v/>
      </c>
      <c r="G201" s="49" t="n"/>
      <c r="H201" s="50" t="n"/>
      <c r="I201" s="49" t="n"/>
      <c r="J201" s="49" t="n"/>
      <c r="K201" s="49" t="n"/>
      <c r="L201" s="49" t="n"/>
    </row>
    <row r="202">
      <c r="A202" s="49" t="n"/>
      <c r="B202" s="49" t="n"/>
      <c r="C202" s="50" t="n"/>
      <c r="D202" s="49" t="n"/>
      <c r="E202" s="36">
        <f>IFERROR(INDEX('Employee Database'!$B$3:$B$202,MATCH(D202,'Employee Database'!$A$3:$A$202,0)),"")</f>
        <v/>
      </c>
      <c r="F202" s="32">
        <f>IFERROR(INDEX('Monthly Payroll'!$R$3:$R$202,MATCH(B202,'Monthly Payroll'!$A$3:$A$202,0)),0)</f>
        <v/>
      </c>
      <c r="G202" s="49" t="n"/>
      <c r="H202" s="50" t="n"/>
      <c r="I202" s="49" t="n"/>
      <c r="J202" s="49" t="n"/>
      <c r="K202" s="49" t="n"/>
      <c r="L202" s="49" t="n"/>
    </row>
  </sheetData>
  <mergeCells count="1">
    <mergeCell ref="A1:L1"/>
  </mergeCells>
  <dataValidations count="2">
    <dataValidation sqref="G3:G202" showDropDown="0" showInputMessage="0" showErrorMessage="0" allowBlank="1" type="list">
      <formula1>"Pending,Initiated,Paid,Failed,On Hold"</formula1>
    </dataValidation>
    <dataValidation sqref="K3:K202" showDropDown="0" showInputMessage="0" showErrorMessage="0" allowBlank="1" type="list">
      <formula1>"Yes,No"</formula1>
    </dataValidation>
  </dataValidations>
  <pageMargins left="0.3" right="0.3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rgb="0017365D"/>
    <outlinePr summaryBelow="1" summaryRight="1"/>
    <pageSetUpPr fitToPage="1"/>
  </sheetPr>
  <dimension ref="A1:H204"/>
  <sheetViews>
    <sheetView showGridLines="0" zoomScale="95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18" customWidth="1" min="4" max="4"/>
    <col width="24" customWidth="1" min="5" max="5"/>
    <col width="28" customWidth="1" min="6" max="6"/>
    <col width="28" customWidth="1" min="7" max="7"/>
    <col width="36" customWidth="1" min="8" max="8"/>
  </cols>
  <sheetData>
    <row r="1">
      <c r="A1" s="37" t="inlineStr">
        <is>
          <t>AVERRA — PAYROLL AUDIT LOG</t>
        </is>
      </c>
    </row>
    <row r="2" ht="32" customHeight="1">
      <c r="A2" s="33" t="inlineStr">
        <is>
          <t>Date / Time</t>
        </is>
      </c>
      <c r="B2" s="33" t="inlineStr">
        <is>
          <t>User</t>
        </is>
      </c>
      <c r="C2" s="33" t="inlineStr">
        <is>
          <t>Record Type</t>
        </is>
      </c>
      <c r="D2" s="33" t="inlineStr">
        <is>
          <t>Record ID</t>
        </is>
      </c>
      <c r="E2" s="33" t="inlineStr">
        <is>
          <t>Field Changed</t>
        </is>
      </c>
      <c r="F2" s="33" t="inlineStr">
        <is>
          <t>Old Value</t>
        </is>
      </c>
      <c r="G2" s="33" t="inlineStr">
        <is>
          <t>New Value</t>
        </is>
      </c>
      <c r="H2" s="33" t="inlineStr">
        <is>
          <t>Reason / Approval</t>
        </is>
      </c>
    </row>
    <row r="3">
      <c r="A3" s="49" t="n"/>
      <c r="B3" s="49" t="n"/>
      <c r="C3" s="49" t="n"/>
      <c r="D3" s="49" t="n"/>
      <c r="E3" s="49" t="n"/>
      <c r="F3" s="49" t="n"/>
      <c r="G3" s="49" t="n"/>
      <c r="H3" s="49" t="n"/>
    </row>
    <row r="4">
      <c r="A4" s="49" t="n"/>
      <c r="B4" s="49" t="n"/>
      <c r="C4" s="49" t="n"/>
      <c r="D4" s="49" t="n"/>
      <c r="E4" s="49" t="n"/>
      <c r="F4" s="49" t="n"/>
      <c r="G4" s="49" t="n"/>
      <c r="H4" s="49" t="n"/>
    </row>
    <row r="5">
      <c r="A5" s="49" t="n"/>
      <c r="B5" s="49" t="n"/>
      <c r="C5" s="49" t="n"/>
      <c r="D5" s="49" t="n"/>
      <c r="E5" s="49" t="n"/>
      <c r="F5" s="49" t="n"/>
      <c r="G5" s="49" t="n"/>
      <c r="H5" s="49" t="n"/>
    </row>
    <row r="6">
      <c r="A6" s="49" t="n"/>
      <c r="B6" s="49" t="n"/>
      <c r="C6" s="49" t="n"/>
      <c r="D6" s="49" t="n"/>
      <c r="E6" s="49" t="n"/>
      <c r="F6" s="49" t="n"/>
      <c r="G6" s="49" t="n"/>
      <c r="H6" s="49" t="n"/>
    </row>
    <row r="7">
      <c r="A7" s="49" t="n"/>
      <c r="B7" s="49" t="n"/>
      <c r="C7" s="49" t="n"/>
      <c r="D7" s="49" t="n"/>
      <c r="E7" s="49" t="n"/>
      <c r="F7" s="49" t="n"/>
      <c r="G7" s="49" t="n"/>
      <c r="H7" s="49" t="n"/>
    </row>
    <row r="8">
      <c r="A8" s="49" t="n"/>
      <c r="B8" s="49" t="n"/>
      <c r="C8" s="49" t="n"/>
      <c r="D8" s="49" t="n"/>
      <c r="E8" s="49" t="n"/>
      <c r="F8" s="49" t="n"/>
      <c r="G8" s="49" t="n"/>
      <c r="H8" s="49" t="n"/>
    </row>
    <row r="9">
      <c r="A9" s="49" t="n"/>
      <c r="B9" s="49" t="n"/>
      <c r="C9" s="49" t="n"/>
      <c r="D9" s="49" t="n"/>
      <c r="E9" s="49" t="n"/>
      <c r="F9" s="49" t="n"/>
      <c r="G9" s="49" t="n"/>
      <c r="H9" s="49" t="n"/>
    </row>
    <row r="10">
      <c r="A10" s="49" t="n"/>
      <c r="B10" s="49" t="n"/>
      <c r="C10" s="49" t="n"/>
      <c r="D10" s="49" t="n"/>
      <c r="E10" s="49" t="n"/>
      <c r="F10" s="49" t="n"/>
      <c r="G10" s="49" t="n"/>
      <c r="H10" s="49" t="n"/>
    </row>
    <row r="11">
      <c r="A11" s="49" t="n"/>
      <c r="B11" s="49" t="n"/>
      <c r="C11" s="49" t="n"/>
      <c r="D11" s="49" t="n"/>
      <c r="E11" s="49" t="n"/>
      <c r="F11" s="49" t="n"/>
      <c r="G11" s="49" t="n"/>
      <c r="H11" s="49" t="n"/>
    </row>
    <row r="12">
      <c r="A12" s="49" t="n"/>
      <c r="B12" s="49" t="n"/>
      <c r="C12" s="49" t="n"/>
      <c r="D12" s="49" t="n"/>
      <c r="E12" s="49" t="n"/>
      <c r="F12" s="49" t="n"/>
      <c r="G12" s="49" t="n"/>
      <c r="H12" s="49" t="n"/>
    </row>
    <row r="13">
      <c r="A13" s="49" t="n"/>
      <c r="B13" s="49" t="n"/>
      <c r="C13" s="49" t="n"/>
      <c r="D13" s="49" t="n"/>
      <c r="E13" s="49" t="n"/>
      <c r="F13" s="49" t="n"/>
      <c r="G13" s="49" t="n"/>
      <c r="H13" s="49" t="n"/>
    </row>
    <row r="14">
      <c r="A14" s="49" t="n"/>
      <c r="B14" s="49" t="n"/>
      <c r="C14" s="49" t="n"/>
      <c r="D14" s="49" t="n"/>
      <c r="E14" s="49" t="n"/>
      <c r="F14" s="49" t="n"/>
      <c r="G14" s="49" t="n"/>
      <c r="H14" s="49" t="n"/>
    </row>
    <row r="15">
      <c r="A15" s="49" t="n"/>
      <c r="B15" s="49" t="n"/>
      <c r="C15" s="49" t="n"/>
      <c r="D15" s="49" t="n"/>
      <c r="E15" s="49" t="n"/>
      <c r="F15" s="49" t="n"/>
      <c r="G15" s="49" t="n"/>
      <c r="H15" s="49" t="n"/>
    </row>
    <row r="16">
      <c r="A16" s="49" t="n"/>
      <c r="B16" s="49" t="n"/>
      <c r="C16" s="49" t="n"/>
      <c r="D16" s="49" t="n"/>
      <c r="E16" s="49" t="n"/>
      <c r="F16" s="49" t="n"/>
      <c r="G16" s="49" t="n"/>
      <c r="H16" s="49" t="n"/>
    </row>
    <row r="17">
      <c r="A17" s="49" t="n"/>
      <c r="B17" s="49" t="n"/>
      <c r="C17" s="49" t="n"/>
      <c r="D17" s="49" t="n"/>
      <c r="E17" s="49" t="n"/>
      <c r="F17" s="49" t="n"/>
      <c r="G17" s="49" t="n"/>
      <c r="H17" s="49" t="n"/>
    </row>
    <row r="18">
      <c r="A18" s="49" t="n"/>
      <c r="B18" s="49" t="n"/>
      <c r="C18" s="49" t="n"/>
      <c r="D18" s="49" t="n"/>
      <c r="E18" s="49" t="n"/>
      <c r="F18" s="49" t="n"/>
      <c r="G18" s="49" t="n"/>
      <c r="H18" s="49" t="n"/>
    </row>
    <row r="19">
      <c r="A19" s="49" t="n"/>
      <c r="B19" s="49" t="n"/>
      <c r="C19" s="49" t="n"/>
      <c r="D19" s="49" t="n"/>
      <c r="E19" s="49" t="n"/>
      <c r="F19" s="49" t="n"/>
      <c r="G19" s="49" t="n"/>
      <c r="H19" s="49" t="n"/>
    </row>
    <row r="20">
      <c r="A20" s="49" t="n"/>
      <c r="B20" s="49" t="n"/>
      <c r="C20" s="49" t="n"/>
      <c r="D20" s="49" t="n"/>
      <c r="E20" s="49" t="n"/>
      <c r="F20" s="49" t="n"/>
      <c r="G20" s="49" t="n"/>
      <c r="H20" s="49" t="n"/>
    </row>
    <row r="21">
      <c r="A21" s="49" t="n"/>
      <c r="B21" s="49" t="n"/>
      <c r="C21" s="49" t="n"/>
      <c r="D21" s="49" t="n"/>
      <c r="E21" s="49" t="n"/>
      <c r="F21" s="49" t="n"/>
      <c r="G21" s="49" t="n"/>
      <c r="H21" s="49" t="n"/>
    </row>
    <row r="22">
      <c r="A22" s="49" t="n"/>
      <c r="B22" s="49" t="n"/>
      <c r="C22" s="49" t="n"/>
      <c r="D22" s="49" t="n"/>
      <c r="E22" s="49" t="n"/>
      <c r="F22" s="49" t="n"/>
      <c r="G22" s="49" t="n"/>
      <c r="H22" s="49" t="n"/>
    </row>
    <row r="23">
      <c r="A23" s="49" t="n"/>
      <c r="B23" s="49" t="n"/>
      <c r="C23" s="49" t="n"/>
      <c r="D23" s="49" t="n"/>
      <c r="E23" s="49" t="n"/>
      <c r="F23" s="49" t="n"/>
      <c r="G23" s="49" t="n"/>
      <c r="H23" s="49" t="n"/>
    </row>
    <row r="24">
      <c r="A24" s="49" t="n"/>
      <c r="B24" s="49" t="n"/>
      <c r="C24" s="49" t="n"/>
      <c r="D24" s="49" t="n"/>
      <c r="E24" s="49" t="n"/>
      <c r="F24" s="49" t="n"/>
      <c r="G24" s="49" t="n"/>
      <c r="H24" s="49" t="n"/>
    </row>
    <row r="25">
      <c r="A25" s="49" t="n"/>
      <c r="B25" s="49" t="n"/>
      <c r="C25" s="49" t="n"/>
      <c r="D25" s="49" t="n"/>
      <c r="E25" s="49" t="n"/>
      <c r="F25" s="49" t="n"/>
      <c r="G25" s="49" t="n"/>
      <c r="H25" s="49" t="n"/>
    </row>
    <row r="26">
      <c r="A26" s="49" t="n"/>
      <c r="B26" s="49" t="n"/>
      <c r="C26" s="49" t="n"/>
      <c r="D26" s="49" t="n"/>
      <c r="E26" s="49" t="n"/>
      <c r="F26" s="49" t="n"/>
      <c r="G26" s="49" t="n"/>
      <c r="H26" s="49" t="n"/>
    </row>
    <row r="27">
      <c r="A27" s="49" t="n"/>
      <c r="B27" s="49" t="n"/>
      <c r="C27" s="49" t="n"/>
      <c r="D27" s="49" t="n"/>
      <c r="E27" s="49" t="n"/>
      <c r="F27" s="49" t="n"/>
      <c r="G27" s="49" t="n"/>
      <c r="H27" s="49" t="n"/>
    </row>
    <row r="28">
      <c r="A28" s="49" t="n"/>
      <c r="B28" s="49" t="n"/>
      <c r="C28" s="49" t="n"/>
      <c r="D28" s="49" t="n"/>
      <c r="E28" s="49" t="n"/>
      <c r="F28" s="49" t="n"/>
      <c r="G28" s="49" t="n"/>
      <c r="H28" s="49" t="n"/>
    </row>
    <row r="29">
      <c r="A29" s="49" t="n"/>
      <c r="B29" s="49" t="n"/>
      <c r="C29" s="49" t="n"/>
      <c r="D29" s="49" t="n"/>
      <c r="E29" s="49" t="n"/>
      <c r="F29" s="49" t="n"/>
      <c r="G29" s="49" t="n"/>
      <c r="H29" s="49" t="n"/>
    </row>
    <row r="30">
      <c r="A30" s="49" t="n"/>
      <c r="B30" s="49" t="n"/>
      <c r="C30" s="49" t="n"/>
      <c r="D30" s="49" t="n"/>
      <c r="E30" s="49" t="n"/>
      <c r="F30" s="49" t="n"/>
      <c r="G30" s="49" t="n"/>
      <c r="H30" s="49" t="n"/>
    </row>
    <row r="31">
      <c r="A31" s="49" t="n"/>
      <c r="B31" s="49" t="n"/>
      <c r="C31" s="49" t="n"/>
      <c r="D31" s="49" t="n"/>
      <c r="E31" s="49" t="n"/>
      <c r="F31" s="49" t="n"/>
      <c r="G31" s="49" t="n"/>
      <c r="H31" s="49" t="n"/>
    </row>
    <row r="32">
      <c r="A32" s="49" t="n"/>
      <c r="B32" s="49" t="n"/>
      <c r="C32" s="49" t="n"/>
      <c r="D32" s="49" t="n"/>
      <c r="E32" s="49" t="n"/>
      <c r="F32" s="49" t="n"/>
      <c r="G32" s="49" t="n"/>
      <c r="H32" s="49" t="n"/>
    </row>
    <row r="33">
      <c r="A33" s="49" t="n"/>
      <c r="B33" s="49" t="n"/>
      <c r="C33" s="49" t="n"/>
      <c r="D33" s="49" t="n"/>
      <c r="E33" s="49" t="n"/>
      <c r="F33" s="49" t="n"/>
      <c r="G33" s="49" t="n"/>
      <c r="H33" s="49" t="n"/>
    </row>
    <row r="34">
      <c r="A34" s="49" t="n"/>
      <c r="B34" s="49" t="n"/>
      <c r="C34" s="49" t="n"/>
      <c r="D34" s="49" t="n"/>
      <c r="E34" s="49" t="n"/>
      <c r="F34" s="49" t="n"/>
      <c r="G34" s="49" t="n"/>
      <c r="H34" s="49" t="n"/>
    </row>
    <row r="35">
      <c r="A35" s="49" t="n"/>
      <c r="B35" s="49" t="n"/>
      <c r="C35" s="49" t="n"/>
      <c r="D35" s="49" t="n"/>
      <c r="E35" s="49" t="n"/>
      <c r="F35" s="49" t="n"/>
      <c r="G35" s="49" t="n"/>
      <c r="H35" s="49" t="n"/>
    </row>
    <row r="36">
      <c r="A36" s="49" t="n"/>
      <c r="B36" s="49" t="n"/>
      <c r="C36" s="49" t="n"/>
      <c r="D36" s="49" t="n"/>
      <c r="E36" s="49" t="n"/>
      <c r="F36" s="49" t="n"/>
      <c r="G36" s="49" t="n"/>
      <c r="H36" s="49" t="n"/>
    </row>
    <row r="37">
      <c r="A37" s="49" t="n"/>
      <c r="B37" s="49" t="n"/>
      <c r="C37" s="49" t="n"/>
      <c r="D37" s="49" t="n"/>
      <c r="E37" s="49" t="n"/>
      <c r="F37" s="49" t="n"/>
      <c r="G37" s="49" t="n"/>
      <c r="H37" s="49" t="n"/>
    </row>
    <row r="38">
      <c r="A38" s="49" t="n"/>
      <c r="B38" s="49" t="n"/>
      <c r="C38" s="49" t="n"/>
      <c r="D38" s="49" t="n"/>
      <c r="E38" s="49" t="n"/>
      <c r="F38" s="49" t="n"/>
      <c r="G38" s="49" t="n"/>
      <c r="H38" s="49" t="n"/>
    </row>
    <row r="39">
      <c r="A39" s="49" t="n"/>
      <c r="B39" s="49" t="n"/>
      <c r="C39" s="49" t="n"/>
      <c r="D39" s="49" t="n"/>
      <c r="E39" s="49" t="n"/>
      <c r="F39" s="49" t="n"/>
      <c r="G39" s="49" t="n"/>
      <c r="H39" s="49" t="n"/>
    </row>
    <row r="40">
      <c r="A40" s="49" t="n"/>
      <c r="B40" s="49" t="n"/>
      <c r="C40" s="49" t="n"/>
      <c r="D40" s="49" t="n"/>
      <c r="E40" s="49" t="n"/>
      <c r="F40" s="49" t="n"/>
      <c r="G40" s="49" t="n"/>
      <c r="H40" s="49" t="n"/>
    </row>
    <row r="41">
      <c r="A41" s="49" t="n"/>
      <c r="B41" s="49" t="n"/>
      <c r="C41" s="49" t="n"/>
      <c r="D41" s="49" t="n"/>
      <c r="E41" s="49" t="n"/>
      <c r="F41" s="49" t="n"/>
      <c r="G41" s="49" t="n"/>
      <c r="H41" s="49" t="n"/>
    </row>
    <row r="42">
      <c r="A42" s="49" t="n"/>
      <c r="B42" s="49" t="n"/>
      <c r="C42" s="49" t="n"/>
      <c r="D42" s="49" t="n"/>
      <c r="E42" s="49" t="n"/>
      <c r="F42" s="49" t="n"/>
      <c r="G42" s="49" t="n"/>
      <c r="H42" s="49" t="n"/>
    </row>
    <row r="43">
      <c r="A43" s="49" t="n"/>
      <c r="B43" s="49" t="n"/>
      <c r="C43" s="49" t="n"/>
      <c r="D43" s="49" t="n"/>
      <c r="E43" s="49" t="n"/>
      <c r="F43" s="49" t="n"/>
      <c r="G43" s="49" t="n"/>
      <c r="H43" s="49" t="n"/>
    </row>
    <row r="44">
      <c r="A44" s="49" t="n"/>
      <c r="B44" s="49" t="n"/>
      <c r="C44" s="49" t="n"/>
      <c r="D44" s="49" t="n"/>
      <c r="E44" s="49" t="n"/>
      <c r="F44" s="49" t="n"/>
      <c r="G44" s="49" t="n"/>
      <c r="H44" s="49" t="n"/>
    </row>
    <row r="45">
      <c r="A45" s="49" t="n"/>
      <c r="B45" s="49" t="n"/>
      <c r="C45" s="49" t="n"/>
      <c r="D45" s="49" t="n"/>
      <c r="E45" s="49" t="n"/>
      <c r="F45" s="49" t="n"/>
      <c r="G45" s="49" t="n"/>
      <c r="H45" s="49" t="n"/>
    </row>
    <row r="46">
      <c r="A46" s="49" t="n"/>
      <c r="B46" s="49" t="n"/>
      <c r="C46" s="49" t="n"/>
      <c r="D46" s="49" t="n"/>
      <c r="E46" s="49" t="n"/>
      <c r="F46" s="49" t="n"/>
      <c r="G46" s="49" t="n"/>
      <c r="H46" s="49" t="n"/>
    </row>
    <row r="47">
      <c r="A47" s="49" t="n"/>
      <c r="B47" s="49" t="n"/>
      <c r="C47" s="49" t="n"/>
      <c r="D47" s="49" t="n"/>
      <c r="E47" s="49" t="n"/>
      <c r="F47" s="49" t="n"/>
      <c r="G47" s="49" t="n"/>
      <c r="H47" s="49" t="n"/>
    </row>
    <row r="48">
      <c r="A48" s="49" t="n"/>
      <c r="B48" s="49" t="n"/>
      <c r="C48" s="49" t="n"/>
      <c r="D48" s="49" t="n"/>
      <c r="E48" s="49" t="n"/>
      <c r="F48" s="49" t="n"/>
      <c r="G48" s="49" t="n"/>
      <c r="H48" s="49" t="n"/>
    </row>
    <row r="49">
      <c r="A49" s="49" t="n"/>
      <c r="B49" s="49" t="n"/>
      <c r="C49" s="49" t="n"/>
      <c r="D49" s="49" t="n"/>
      <c r="E49" s="49" t="n"/>
      <c r="F49" s="49" t="n"/>
      <c r="G49" s="49" t="n"/>
      <c r="H49" s="49" t="n"/>
    </row>
    <row r="50">
      <c r="A50" s="49" t="n"/>
      <c r="B50" s="49" t="n"/>
      <c r="C50" s="49" t="n"/>
      <c r="D50" s="49" t="n"/>
      <c r="E50" s="49" t="n"/>
      <c r="F50" s="49" t="n"/>
      <c r="G50" s="49" t="n"/>
      <c r="H50" s="49" t="n"/>
    </row>
    <row r="51">
      <c r="A51" s="49" t="n"/>
      <c r="B51" s="49" t="n"/>
      <c r="C51" s="49" t="n"/>
      <c r="D51" s="49" t="n"/>
      <c r="E51" s="49" t="n"/>
      <c r="F51" s="49" t="n"/>
      <c r="G51" s="49" t="n"/>
      <c r="H51" s="49" t="n"/>
    </row>
    <row r="52">
      <c r="A52" s="49" t="n"/>
      <c r="B52" s="49" t="n"/>
      <c r="C52" s="49" t="n"/>
      <c r="D52" s="49" t="n"/>
      <c r="E52" s="49" t="n"/>
      <c r="F52" s="49" t="n"/>
      <c r="G52" s="49" t="n"/>
      <c r="H52" s="49" t="n"/>
    </row>
    <row r="53">
      <c r="A53" s="49" t="n"/>
      <c r="B53" s="49" t="n"/>
      <c r="C53" s="49" t="n"/>
      <c r="D53" s="49" t="n"/>
      <c r="E53" s="49" t="n"/>
      <c r="F53" s="49" t="n"/>
      <c r="G53" s="49" t="n"/>
      <c r="H53" s="49" t="n"/>
    </row>
    <row r="54">
      <c r="A54" s="49" t="n"/>
      <c r="B54" s="49" t="n"/>
      <c r="C54" s="49" t="n"/>
      <c r="D54" s="49" t="n"/>
      <c r="E54" s="49" t="n"/>
      <c r="F54" s="49" t="n"/>
      <c r="G54" s="49" t="n"/>
      <c r="H54" s="49" t="n"/>
    </row>
    <row r="55">
      <c r="A55" s="49" t="n"/>
      <c r="B55" s="49" t="n"/>
      <c r="C55" s="49" t="n"/>
      <c r="D55" s="49" t="n"/>
      <c r="E55" s="49" t="n"/>
      <c r="F55" s="49" t="n"/>
      <c r="G55" s="49" t="n"/>
      <c r="H55" s="49" t="n"/>
    </row>
    <row r="56">
      <c r="A56" s="49" t="n"/>
      <c r="B56" s="49" t="n"/>
      <c r="C56" s="49" t="n"/>
      <c r="D56" s="49" t="n"/>
      <c r="E56" s="49" t="n"/>
      <c r="F56" s="49" t="n"/>
      <c r="G56" s="49" t="n"/>
      <c r="H56" s="49" t="n"/>
    </row>
    <row r="57">
      <c r="A57" s="49" t="n"/>
      <c r="B57" s="49" t="n"/>
      <c r="C57" s="49" t="n"/>
      <c r="D57" s="49" t="n"/>
      <c r="E57" s="49" t="n"/>
      <c r="F57" s="49" t="n"/>
      <c r="G57" s="49" t="n"/>
      <c r="H57" s="49" t="n"/>
    </row>
    <row r="58">
      <c r="A58" s="49" t="n"/>
      <c r="B58" s="49" t="n"/>
      <c r="C58" s="49" t="n"/>
      <c r="D58" s="49" t="n"/>
      <c r="E58" s="49" t="n"/>
      <c r="F58" s="49" t="n"/>
      <c r="G58" s="49" t="n"/>
      <c r="H58" s="49" t="n"/>
    </row>
    <row r="59">
      <c r="A59" s="49" t="n"/>
      <c r="B59" s="49" t="n"/>
      <c r="C59" s="49" t="n"/>
      <c r="D59" s="49" t="n"/>
      <c r="E59" s="49" t="n"/>
      <c r="F59" s="49" t="n"/>
      <c r="G59" s="49" t="n"/>
      <c r="H59" s="49" t="n"/>
    </row>
    <row r="60">
      <c r="A60" s="49" t="n"/>
      <c r="B60" s="49" t="n"/>
      <c r="C60" s="49" t="n"/>
      <c r="D60" s="49" t="n"/>
      <c r="E60" s="49" t="n"/>
      <c r="F60" s="49" t="n"/>
      <c r="G60" s="49" t="n"/>
      <c r="H60" s="49" t="n"/>
    </row>
    <row r="61">
      <c r="A61" s="49" t="n"/>
      <c r="B61" s="49" t="n"/>
      <c r="C61" s="49" t="n"/>
      <c r="D61" s="49" t="n"/>
      <c r="E61" s="49" t="n"/>
      <c r="F61" s="49" t="n"/>
      <c r="G61" s="49" t="n"/>
      <c r="H61" s="49" t="n"/>
    </row>
    <row r="62">
      <c r="A62" s="49" t="n"/>
      <c r="B62" s="49" t="n"/>
      <c r="C62" s="49" t="n"/>
      <c r="D62" s="49" t="n"/>
      <c r="E62" s="49" t="n"/>
      <c r="F62" s="49" t="n"/>
      <c r="G62" s="49" t="n"/>
      <c r="H62" s="49" t="n"/>
    </row>
    <row r="63">
      <c r="A63" s="49" t="n"/>
      <c r="B63" s="49" t="n"/>
      <c r="C63" s="49" t="n"/>
      <c r="D63" s="49" t="n"/>
      <c r="E63" s="49" t="n"/>
      <c r="F63" s="49" t="n"/>
      <c r="G63" s="49" t="n"/>
      <c r="H63" s="49" t="n"/>
    </row>
    <row r="64">
      <c r="A64" s="49" t="n"/>
      <c r="B64" s="49" t="n"/>
      <c r="C64" s="49" t="n"/>
      <c r="D64" s="49" t="n"/>
      <c r="E64" s="49" t="n"/>
      <c r="F64" s="49" t="n"/>
      <c r="G64" s="49" t="n"/>
      <c r="H64" s="49" t="n"/>
    </row>
    <row r="65">
      <c r="A65" s="49" t="n"/>
      <c r="B65" s="49" t="n"/>
      <c r="C65" s="49" t="n"/>
      <c r="D65" s="49" t="n"/>
      <c r="E65" s="49" t="n"/>
      <c r="F65" s="49" t="n"/>
      <c r="G65" s="49" t="n"/>
      <c r="H65" s="49" t="n"/>
    </row>
    <row r="66">
      <c r="A66" s="49" t="n"/>
      <c r="B66" s="49" t="n"/>
      <c r="C66" s="49" t="n"/>
      <c r="D66" s="49" t="n"/>
      <c r="E66" s="49" t="n"/>
      <c r="F66" s="49" t="n"/>
      <c r="G66" s="49" t="n"/>
      <c r="H66" s="49" t="n"/>
    </row>
    <row r="67">
      <c r="A67" s="49" t="n"/>
      <c r="B67" s="49" t="n"/>
      <c r="C67" s="49" t="n"/>
      <c r="D67" s="49" t="n"/>
      <c r="E67" s="49" t="n"/>
      <c r="F67" s="49" t="n"/>
      <c r="G67" s="49" t="n"/>
      <c r="H67" s="49" t="n"/>
    </row>
    <row r="68">
      <c r="A68" s="49" t="n"/>
      <c r="B68" s="49" t="n"/>
      <c r="C68" s="49" t="n"/>
      <c r="D68" s="49" t="n"/>
      <c r="E68" s="49" t="n"/>
      <c r="F68" s="49" t="n"/>
      <c r="G68" s="49" t="n"/>
      <c r="H68" s="49" t="n"/>
    </row>
    <row r="69">
      <c r="A69" s="49" t="n"/>
      <c r="B69" s="49" t="n"/>
      <c r="C69" s="49" t="n"/>
      <c r="D69" s="49" t="n"/>
      <c r="E69" s="49" t="n"/>
      <c r="F69" s="49" t="n"/>
      <c r="G69" s="49" t="n"/>
      <c r="H69" s="49" t="n"/>
    </row>
    <row r="70">
      <c r="A70" s="49" t="n"/>
      <c r="B70" s="49" t="n"/>
      <c r="C70" s="49" t="n"/>
      <c r="D70" s="49" t="n"/>
      <c r="E70" s="49" t="n"/>
      <c r="F70" s="49" t="n"/>
      <c r="G70" s="49" t="n"/>
      <c r="H70" s="49" t="n"/>
    </row>
    <row r="71">
      <c r="A71" s="49" t="n"/>
      <c r="B71" s="49" t="n"/>
      <c r="C71" s="49" t="n"/>
      <c r="D71" s="49" t="n"/>
      <c r="E71" s="49" t="n"/>
      <c r="F71" s="49" t="n"/>
      <c r="G71" s="49" t="n"/>
      <c r="H71" s="49" t="n"/>
    </row>
    <row r="72">
      <c r="A72" s="49" t="n"/>
      <c r="B72" s="49" t="n"/>
      <c r="C72" s="49" t="n"/>
      <c r="D72" s="49" t="n"/>
      <c r="E72" s="49" t="n"/>
      <c r="F72" s="49" t="n"/>
      <c r="G72" s="49" t="n"/>
      <c r="H72" s="49" t="n"/>
    </row>
    <row r="73">
      <c r="A73" s="49" t="n"/>
      <c r="B73" s="49" t="n"/>
      <c r="C73" s="49" t="n"/>
      <c r="D73" s="49" t="n"/>
      <c r="E73" s="49" t="n"/>
      <c r="F73" s="49" t="n"/>
      <c r="G73" s="49" t="n"/>
      <c r="H73" s="49" t="n"/>
    </row>
    <row r="74">
      <c r="A74" s="49" t="n"/>
      <c r="B74" s="49" t="n"/>
      <c r="C74" s="49" t="n"/>
      <c r="D74" s="49" t="n"/>
      <c r="E74" s="49" t="n"/>
      <c r="F74" s="49" t="n"/>
      <c r="G74" s="49" t="n"/>
      <c r="H74" s="49" t="n"/>
    </row>
    <row r="75">
      <c r="A75" s="49" t="n"/>
      <c r="B75" s="49" t="n"/>
      <c r="C75" s="49" t="n"/>
      <c r="D75" s="49" t="n"/>
      <c r="E75" s="49" t="n"/>
      <c r="F75" s="49" t="n"/>
      <c r="G75" s="49" t="n"/>
      <c r="H75" s="49" t="n"/>
    </row>
    <row r="76">
      <c r="A76" s="49" t="n"/>
      <c r="B76" s="49" t="n"/>
      <c r="C76" s="49" t="n"/>
      <c r="D76" s="49" t="n"/>
      <c r="E76" s="49" t="n"/>
      <c r="F76" s="49" t="n"/>
      <c r="G76" s="49" t="n"/>
      <c r="H76" s="49" t="n"/>
    </row>
    <row r="77">
      <c r="A77" s="49" t="n"/>
      <c r="B77" s="49" t="n"/>
      <c r="C77" s="49" t="n"/>
      <c r="D77" s="49" t="n"/>
      <c r="E77" s="49" t="n"/>
      <c r="F77" s="49" t="n"/>
      <c r="G77" s="49" t="n"/>
      <c r="H77" s="49" t="n"/>
    </row>
    <row r="78">
      <c r="A78" s="49" t="n"/>
      <c r="B78" s="49" t="n"/>
      <c r="C78" s="49" t="n"/>
      <c r="D78" s="49" t="n"/>
      <c r="E78" s="49" t="n"/>
      <c r="F78" s="49" t="n"/>
      <c r="G78" s="49" t="n"/>
      <c r="H78" s="49" t="n"/>
    </row>
    <row r="79">
      <c r="A79" s="49" t="n"/>
      <c r="B79" s="49" t="n"/>
      <c r="C79" s="49" t="n"/>
      <c r="D79" s="49" t="n"/>
      <c r="E79" s="49" t="n"/>
      <c r="F79" s="49" t="n"/>
      <c r="G79" s="49" t="n"/>
      <c r="H79" s="49" t="n"/>
    </row>
    <row r="80">
      <c r="A80" s="49" t="n"/>
      <c r="B80" s="49" t="n"/>
      <c r="C80" s="49" t="n"/>
      <c r="D80" s="49" t="n"/>
      <c r="E80" s="49" t="n"/>
      <c r="F80" s="49" t="n"/>
      <c r="G80" s="49" t="n"/>
      <c r="H80" s="49" t="n"/>
    </row>
    <row r="81">
      <c r="A81" s="49" t="n"/>
      <c r="B81" s="49" t="n"/>
      <c r="C81" s="49" t="n"/>
      <c r="D81" s="49" t="n"/>
      <c r="E81" s="49" t="n"/>
      <c r="F81" s="49" t="n"/>
      <c r="G81" s="49" t="n"/>
      <c r="H81" s="49" t="n"/>
    </row>
    <row r="82">
      <c r="A82" s="49" t="n"/>
      <c r="B82" s="49" t="n"/>
      <c r="C82" s="49" t="n"/>
      <c r="D82" s="49" t="n"/>
      <c r="E82" s="49" t="n"/>
      <c r="F82" s="49" t="n"/>
      <c r="G82" s="49" t="n"/>
      <c r="H82" s="49" t="n"/>
    </row>
    <row r="83">
      <c r="A83" s="49" t="n"/>
      <c r="B83" s="49" t="n"/>
      <c r="C83" s="49" t="n"/>
      <c r="D83" s="49" t="n"/>
      <c r="E83" s="49" t="n"/>
      <c r="F83" s="49" t="n"/>
      <c r="G83" s="49" t="n"/>
      <c r="H83" s="49" t="n"/>
    </row>
    <row r="84">
      <c r="A84" s="49" t="n"/>
      <c r="B84" s="49" t="n"/>
      <c r="C84" s="49" t="n"/>
      <c r="D84" s="49" t="n"/>
      <c r="E84" s="49" t="n"/>
      <c r="F84" s="49" t="n"/>
      <c r="G84" s="49" t="n"/>
      <c r="H84" s="49" t="n"/>
    </row>
    <row r="85">
      <c r="A85" s="49" t="n"/>
      <c r="B85" s="49" t="n"/>
      <c r="C85" s="49" t="n"/>
      <c r="D85" s="49" t="n"/>
      <c r="E85" s="49" t="n"/>
      <c r="F85" s="49" t="n"/>
      <c r="G85" s="49" t="n"/>
      <c r="H85" s="49" t="n"/>
    </row>
    <row r="86">
      <c r="A86" s="49" t="n"/>
      <c r="B86" s="49" t="n"/>
      <c r="C86" s="49" t="n"/>
      <c r="D86" s="49" t="n"/>
      <c r="E86" s="49" t="n"/>
      <c r="F86" s="49" t="n"/>
      <c r="G86" s="49" t="n"/>
      <c r="H86" s="49" t="n"/>
    </row>
    <row r="87">
      <c r="A87" s="49" t="n"/>
      <c r="B87" s="49" t="n"/>
      <c r="C87" s="49" t="n"/>
      <c r="D87" s="49" t="n"/>
      <c r="E87" s="49" t="n"/>
      <c r="F87" s="49" t="n"/>
      <c r="G87" s="49" t="n"/>
      <c r="H87" s="49" t="n"/>
    </row>
    <row r="88">
      <c r="A88" s="49" t="n"/>
      <c r="B88" s="49" t="n"/>
      <c r="C88" s="49" t="n"/>
      <c r="D88" s="49" t="n"/>
      <c r="E88" s="49" t="n"/>
      <c r="F88" s="49" t="n"/>
      <c r="G88" s="49" t="n"/>
      <c r="H88" s="49" t="n"/>
    </row>
    <row r="89">
      <c r="A89" s="49" t="n"/>
      <c r="B89" s="49" t="n"/>
      <c r="C89" s="49" t="n"/>
      <c r="D89" s="49" t="n"/>
      <c r="E89" s="49" t="n"/>
      <c r="F89" s="49" t="n"/>
      <c r="G89" s="49" t="n"/>
      <c r="H89" s="49" t="n"/>
    </row>
    <row r="90">
      <c r="A90" s="49" t="n"/>
      <c r="B90" s="49" t="n"/>
      <c r="C90" s="49" t="n"/>
      <c r="D90" s="49" t="n"/>
      <c r="E90" s="49" t="n"/>
      <c r="F90" s="49" t="n"/>
      <c r="G90" s="49" t="n"/>
      <c r="H90" s="49" t="n"/>
    </row>
    <row r="91">
      <c r="A91" s="49" t="n"/>
      <c r="B91" s="49" t="n"/>
      <c r="C91" s="49" t="n"/>
      <c r="D91" s="49" t="n"/>
      <c r="E91" s="49" t="n"/>
      <c r="F91" s="49" t="n"/>
      <c r="G91" s="49" t="n"/>
      <c r="H91" s="49" t="n"/>
    </row>
    <row r="92">
      <c r="A92" s="49" t="n"/>
      <c r="B92" s="49" t="n"/>
      <c r="C92" s="49" t="n"/>
      <c r="D92" s="49" t="n"/>
      <c r="E92" s="49" t="n"/>
      <c r="F92" s="49" t="n"/>
      <c r="G92" s="49" t="n"/>
      <c r="H92" s="49" t="n"/>
    </row>
    <row r="93">
      <c r="A93" s="49" t="n"/>
      <c r="B93" s="49" t="n"/>
      <c r="C93" s="49" t="n"/>
      <c r="D93" s="49" t="n"/>
      <c r="E93" s="49" t="n"/>
      <c r="F93" s="49" t="n"/>
      <c r="G93" s="49" t="n"/>
      <c r="H93" s="49" t="n"/>
    </row>
    <row r="94">
      <c r="A94" s="49" t="n"/>
      <c r="B94" s="49" t="n"/>
      <c r="C94" s="49" t="n"/>
      <c r="D94" s="49" t="n"/>
      <c r="E94" s="49" t="n"/>
      <c r="F94" s="49" t="n"/>
      <c r="G94" s="49" t="n"/>
      <c r="H94" s="49" t="n"/>
    </row>
    <row r="95">
      <c r="A95" s="49" t="n"/>
      <c r="B95" s="49" t="n"/>
      <c r="C95" s="49" t="n"/>
      <c r="D95" s="49" t="n"/>
      <c r="E95" s="49" t="n"/>
      <c r="F95" s="49" t="n"/>
      <c r="G95" s="49" t="n"/>
      <c r="H95" s="49" t="n"/>
    </row>
    <row r="96">
      <c r="A96" s="49" t="n"/>
      <c r="B96" s="49" t="n"/>
      <c r="C96" s="49" t="n"/>
      <c r="D96" s="49" t="n"/>
      <c r="E96" s="49" t="n"/>
      <c r="F96" s="49" t="n"/>
      <c r="G96" s="49" t="n"/>
      <c r="H96" s="49" t="n"/>
    </row>
    <row r="97">
      <c r="A97" s="49" t="n"/>
      <c r="B97" s="49" t="n"/>
      <c r="C97" s="49" t="n"/>
      <c r="D97" s="49" t="n"/>
      <c r="E97" s="49" t="n"/>
      <c r="F97" s="49" t="n"/>
      <c r="G97" s="49" t="n"/>
      <c r="H97" s="49" t="n"/>
    </row>
    <row r="98">
      <c r="A98" s="49" t="n"/>
      <c r="B98" s="49" t="n"/>
      <c r="C98" s="49" t="n"/>
      <c r="D98" s="49" t="n"/>
      <c r="E98" s="49" t="n"/>
      <c r="F98" s="49" t="n"/>
      <c r="G98" s="49" t="n"/>
      <c r="H98" s="49" t="n"/>
    </row>
    <row r="99">
      <c r="A99" s="49" t="n"/>
      <c r="B99" s="49" t="n"/>
      <c r="C99" s="49" t="n"/>
      <c r="D99" s="49" t="n"/>
      <c r="E99" s="49" t="n"/>
      <c r="F99" s="49" t="n"/>
      <c r="G99" s="49" t="n"/>
      <c r="H99" s="49" t="n"/>
    </row>
    <row r="100">
      <c r="A100" s="49" t="n"/>
      <c r="B100" s="49" t="n"/>
      <c r="C100" s="49" t="n"/>
      <c r="D100" s="49" t="n"/>
      <c r="E100" s="49" t="n"/>
      <c r="F100" s="49" t="n"/>
      <c r="G100" s="49" t="n"/>
      <c r="H100" s="49" t="n"/>
    </row>
    <row r="101">
      <c r="A101" s="49" t="n"/>
      <c r="B101" s="49" t="n"/>
      <c r="C101" s="49" t="n"/>
      <c r="D101" s="49" t="n"/>
      <c r="E101" s="49" t="n"/>
      <c r="F101" s="49" t="n"/>
      <c r="G101" s="49" t="n"/>
      <c r="H101" s="49" t="n"/>
    </row>
    <row r="102">
      <c r="A102" s="49" t="n"/>
      <c r="B102" s="49" t="n"/>
      <c r="C102" s="49" t="n"/>
      <c r="D102" s="49" t="n"/>
      <c r="E102" s="49" t="n"/>
      <c r="F102" s="49" t="n"/>
      <c r="G102" s="49" t="n"/>
      <c r="H102" s="49" t="n"/>
    </row>
    <row r="103">
      <c r="A103" s="49" t="n"/>
      <c r="B103" s="49" t="n"/>
      <c r="C103" s="49" t="n"/>
      <c r="D103" s="49" t="n"/>
      <c r="E103" s="49" t="n"/>
      <c r="F103" s="49" t="n"/>
      <c r="G103" s="49" t="n"/>
      <c r="H103" s="49" t="n"/>
    </row>
    <row r="104">
      <c r="A104" s="49" t="n"/>
      <c r="B104" s="49" t="n"/>
      <c r="C104" s="49" t="n"/>
      <c r="D104" s="49" t="n"/>
      <c r="E104" s="49" t="n"/>
      <c r="F104" s="49" t="n"/>
      <c r="G104" s="49" t="n"/>
      <c r="H104" s="49" t="n"/>
    </row>
    <row r="105">
      <c r="A105" s="49" t="n"/>
      <c r="B105" s="49" t="n"/>
      <c r="C105" s="49" t="n"/>
      <c r="D105" s="49" t="n"/>
      <c r="E105" s="49" t="n"/>
      <c r="F105" s="49" t="n"/>
      <c r="G105" s="49" t="n"/>
      <c r="H105" s="49" t="n"/>
    </row>
    <row r="106">
      <c r="A106" s="49" t="n"/>
      <c r="B106" s="49" t="n"/>
      <c r="C106" s="49" t="n"/>
      <c r="D106" s="49" t="n"/>
      <c r="E106" s="49" t="n"/>
      <c r="F106" s="49" t="n"/>
      <c r="G106" s="49" t="n"/>
      <c r="H106" s="49" t="n"/>
    </row>
    <row r="107">
      <c r="A107" s="49" t="n"/>
      <c r="B107" s="49" t="n"/>
      <c r="C107" s="49" t="n"/>
      <c r="D107" s="49" t="n"/>
      <c r="E107" s="49" t="n"/>
      <c r="F107" s="49" t="n"/>
      <c r="G107" s="49" t="n"/>
      <c r="H107" s="49" t="n"/>
    </row>
    <row r="108">
      <c r="A108" s="49" t="n"/>
      <c r="B108" s="49" t="n"/>
      <c r="C108" s="49" t="n"/>
      <c r="D108" s="49" t="n"/>
      <c r="E108" s="49" t="n"/>
      <c r="F108" s="49" t="n"/>
      <c r="G108" s="49" t="n"/>
      <c r="H108" s="49" t="n"/>
    </row>
    <row r="109">
      <c r="A109" s="49" t="n"/>
      <c r="B109" s="49" t="n"/>
      <c r="C109" s="49" t="n"/>
      <c r="D109" s="49" t="n"/>
      <c r="E109" s="49" t="n"/>
      <c r="F109" s="49" t="n"/>
      <c r="G109" s="49" t="n"/>
      <c r="H109" s="49" t="n"/>
    </row>
    <row r="110">
      <c r="A110" s="49" t="n"/>
      <c r="B110" s="49" t="n"/>
      <c r="C110" s="49" t="n"/>
      <c r="D110" s="49" t="n"/>
      <c r="E110" s="49" t="n"/>
      <c r="F110" s="49" t="n"/>
      <c r="G110" s="49" t="n"/>
      <c r="H110" s="49" t="n"/>
    </row>
    <row r="111">
      <c r="A111" s="49" t="n"/>
      <c r="B111" s="49" t="n"/>
      <c r="C111" s="49" t="n"/>
      <c r="D111" s="49" t="n"/>
      <c r="E111" s="49" t="n"/>
      <c r="F111" s="49" t="n"/>
      <c r="G111" s="49" t="n"/>
      <c r="H111" s="49" t="n"/>
    </row>
    <row r="112">
      <c r="A112" s="49" t="n"/>
      <c r="B112" s="49" t="n"/>
      <c r="C112" s="49" t="n"/>
      <c r="D112" s="49" t="n"/>
      <c r="E112" s="49" t="n"/>
      <c r="F112" s="49" t="n"/>
      <c r="G112" s="49" t="n"/>
      <c r="H112" s="49" t="n"/>
    </row>
    <row r="113">
      <c r="A113" s="49" t="n"/>
      <c r="B113" s="49" t="n"/>
      <c r="C113" s="49" t="n"/>
      <c r="D113" s="49" t="n"/>
      <c r="E113" s="49" t="n"/>
      <c r="F113" s="49" t="n"/>
      <c r="G113" s="49" t="n"/>
      <c r="H113" s="49" t="n"/>
    </row>
    <row r="114">
      <c r="A114" s="49" t="n"/>
      <c r="B114" s="49" t="n"/>
      <c r="C114" s="49" t="n"/>
      <c r="D114" s="49" t="n"/>
      <c r="E114" s="49" t="n"/>
      <c r="F114" s="49" t="n"/>
      <c r="G114" s="49" t="n"/>
      <c r="H114" s="49" t="n"/>
    </row>
    <row r="115">
      <c r="A115" s="49" t="n"/>
      <c r="B115" s="49" t="n"/>
      <c r="C115" s="49" t="n"/>
      <c r="D115" s="49" t="n"/>
      <c r="E115" s="49" t="n"/>
      <c r="F115" s="49" t="n"/>
      <c r="G115" s="49" t="n"/>
      <c r="H115" s="49" t="n"/>
    </row>
    <row r="116">
      <c r="A116" s="49" t="n"/>
      <c r="B116" s="49" t="n"/>
      <c r="C116" s="49" t="n"/>
      <c r="D116" s="49" t="n"/>
      <c r="E116" s="49" t="n"/>
      <c r="F116" s="49" t="n"/>
      <c r="G116" s="49" t="n"/>
      <c r="H116" s="49" t="n"/>
    </row>
    <row r="117">
      <c r="A117" s="49" t="n"/>
      <c r="B117" s="49" t="n"/>
      <c r="C117" s="49" t="n"/>
      <c r="D117" s="49" t="n"/>
      <c r="E117" s="49" t="n"/>
      <c r="F117" s="49" t="n"/>
      <c r="G117" s="49" t="n"/>
      <c r="H117" s="49" t="n"/>
    </row>
    <row r="118">
      <c r="A118" s="49" t="n"/>
      <c r="B118" s="49" t="n"/>
      <c r="C118" s="49" t="n"/>
      <c r="D118" s="49" t="n"/>
      <c r="E118" s="49" t="n"/>
      <c r="F118" s="49" t="n"/>
      <c r="G118" s="49" t="n"/>
      <c r="H118" s="49" t="n"/>
    </row>
    <row r="119">
      <c r="A119" s="49" t="n"/>
      <c r="B119" s="49" t="n"/>
      <c r="C119" s="49" t="n"/>
      <c r="D119" s="49" t="n"/>
      <c r="E119" s="49" t="n"/>
      <c r="F119" s="49" t="n"/>
      <c r="G119" s="49" t="n"/>
      <c r="H119" s="49" t="n"/>
    </row>
    <row r="120">
      <c r="A120" s="49" t="n"/>
      <c r="B120" s="49" t="n"/>
      <c r="C120" s="49" t="n"/>
      <c r="D120" s="49" t="n"/>
      <c r="E120" s="49" t="n"/>
      <c r="F120" s="49" t="n"/>
      <c r="G120" s="49" t="n"/>
      <c r="H120" s="49" t="n"/>
    </row>
    <row r="121">
      <c r="A121" s="49" t="n"/>
      <c r="B121" s="49" t="n"/>
      <c r="C121" s="49" t="n"/>
      <c r="D121" s="49" t="n"/>
      <c r="E121" s="49" t="n"/>
      <c r="F121" s="49" t="n"/>
      <c r="G121" s="49" t="n"/>
      <c r="H121" s="49" t="n"/>
    </row>
    <row r="122">
      <c r="A122" s="49" t="n"/>
      <c r="B122" s="49" t="n"/>
      <c r="C122" s="49" t="n"/>
      <c r="D122" s="49" t="n"/>
      <c r="E122" s="49" t="n"/>
      <c r="F122" s="49" t="n"/>
      <c r="G122" s="49" t="n"/>
      <c r="H122" s="49" t="n"/>
    </row>
    <row r="123">
      <c r="A123" s="49" t="n"/>
      <c r="B123" s="49" t="n"/>
      <c r="C123" s="49" t="n"/>
      <c r="D123" s="49" t="n"/>
      <c r="E123" s="49" t="n"/>
      <c r="F123" s="49" t="n"/>
      <c r="G123" s="49" t="n"/>
      <c r="H123" s="49" t="n"/>
    </row>
    <row r="124">
      <c r="A124" s="49" t="n"/>
      <c r="B124" s="49" t="n"/>
      <c r="C124" s="49" t="n"/>
      <c r="D124" s="49" t="n"/>
      <c r="E124" s="49" t="n"/>
      <c r="F124" s="49" t="n"/>
      <c r="G124" s="49" t="n"/>
      <c r="H124" s="49" t="n"/>
    </row>
    <row r="125">
      <c r="A125" s="49" t="n"/>
      <c r="B125" s="49" t="n"/>
      <c r="C125" s="49" t="n"/>
      <c r="D125" s="49" t="n"/>
      <c r="E125" s="49" t="n"/>
      <c r="F125" s="49" t="n"/>
      <c r="G125" s="49" t="n"/>
      <c r="H125" s="49" t="n"/>
    </row>
    <row r="126">
      <c r="A126" s="49" t="n"/>
      <c r="B126" s="49" t="n"/>
      <c r="C126" s="49" t="n"/>
      <c r="D126" s="49" t="n"/>
      <c r="E126" s="49" t="n"/>
      <c r="F126" s="49" t="n"/>
      <c r="G126" s="49" t="n"/>
      <c r="H126" s="49" t="n"/>
    </row>
    <row r="127">
      <c r="A127" s="49" t="n"/>
      <c r="B127" s="49" t="n"/>
      <c r="C127" s="49" t="n"/>
      <c r="D127" s="49" t="n"/>
      <c r="E127" s="49" t="n"/>
      <c r="F127" s="49" t="n"/>
      <c r="G127" s="49" t="n"/>
      <c r="H127" s="49" t="n"/>
    </row>
    <row r="128">
      <c r="A128" s="49" t="n"/>
      <c r="B128" s="49" t="n"/>
      <c r="C128" s="49" t="n"/>
      <c r="D128" s="49" t="n"/>
      <c r="E128" s="49" t="n"/>
      <c r="F128" s="49" t="n"/>
      <c r="G128" s="49" t="n"/>
      <c r="H128" s="49" t="n"/>
    </row>
    <row r="129">
      <c r="A129" s="49" t="n"/>
      <c r="B129" s="49" t="n"/>
      <c r="C129" s="49" t="n"/>
      <c r="D129" s="49" t="n"/>
      <c r="E129" s="49" t="n"/>
      <c r="F129" s="49" t="n"/>
      <c r="G129" s="49" t="n"/>
      <c r="H129" s="49" t="n"/>
    </row>
    <row r="130">
      <c r="A130" s="49" t="n"/>
      <c r="B130" s="49" t="n"/>
      <c r="C130" s="49" t="n"/>
      <c r="D130" s="49" t="n"/>
      <c r="E130" s="49" t="n"/>
      <c r="F130" s="49" t="n"/>
      <c r="G130" s="49" t="n"/>
      <c r="H130" s="49" t="n"/>
    </row>
    <row r="131">
      <c r="A131" s="49" t="n"/>
      <c r="B131" s="49" t="n"/>
      <c r="C131" s="49" t="n"/>
      <c r="D131" s="49" t="n"/>
      <c r="E131" s="49" t="n"/>
      <c r="F131" s="49" t="n"/>
      <c r="G131" s="49" t="n"/>
      <c r="H131" s="49" t="n"/>
    </row>
    <row r="132">
      <c r="A132" s="49" t="n"/>
      <c r="B132" s="49" t="n"/>
      <c r="C132" s="49" t="n"/>
      <c r="D132" s="49" t="n"/>
      <c r="E132" s="49" t="n"/>
      <c r="F132" s="49" t="n"/>
      <c r="G132" s="49" t="n"/>
      <c r="H132" s="49" t="n"/>
    </row>
    <row r="133">
      <c r="A133" s="49" t="n"/>
      <c r="B133" s="49" t="n"/>
      <c r="C133" s="49" t="n"/>
      <c r="D133" s="49" t="n"/>
      <c r="E133" s="49" t="n"/>
      <c r="F133" s="49" t="n"/>
      <c r="G133" s="49" t="n"/>
      <c r="H133" s="49" t="n"/>
    </row>
    <row r="134">
      <c r="A134" s="49" t="n"/>
      <c r="B134" s="49" t="n"/>
      <c r="C134" s="49" t="n"/>
      <c r="D134" s="49" t="n"/>
      <c r="E134" s="49" t="n"/>
      <c r="F134" s="49" t="n"/>
      <c r="G134" s="49" t="n"/>
      <c r="H134" s="49" t="n"/>
    </row>
    <row r="135">
      <c r="A135" s="49" t="n"/>
      <c r="B135" s="49" t="n"/>
      <c r="C135" s="49" t="n"/>
      <c r="D135" s="49" t="n"/>
      <c r="E135" s="49" t="n"/>
      <c r="F135" s="49" t="n"/>
      <c r="G135" s="49" t="n"/>
      <c r="H135" s="49" t="n"/>
    </row>
    <row r="136">
      <c r="A136" s="49" t="n"/>
      <c r="B136" s="49" t="n"/>
      <c r="C136" s="49" t="n"/>
      <c r="D136" s="49" t="n"/>
      <c r="E136" s="49" t="n"/>
      <c r="F136" s="49" t="n"/>
      <c r="G136" s="49" t="n"/>
      <c r="H136" s="49" t="n"/>
    </row>
    <row r="137">
      <c r="A137" s="49" t="n"/>
      <c r="B137" s="49" t="n"/>
      <c r="C137" s="49" t="n"/>
      <c r="D137" s="49" t="n"/>
      <c r="E137" s="49" t="n"/>
      <c r="F137" s="49" t="n"/>
      <c r="G137" s="49" t="n"/>
      <c r="H137" s="49" t="n"/>
    </row>
    <row r="138">
      <c r="A138" s="49" t="n"/>
      <c r="B138" s="49" t="n"/>
      <c r="C138" s="49" t="n"/>
      <c r="D138" s="49" t="n"/>
      <c r="E138" s="49" t="n"/>
      <c r="F138" s="49" t="n"/>
      <c r="G138" s="49" t="n"/>
      <c r="H138" s="49" t="n"/>
    </row>
    <row r="139">
      <c r="A139" s="49" t="n"/>
      <c r="B139" s="49" t="n"/>
      <c r="C139" s="49" t="n"/>
      <c r="D139" s="49" t="n"/>
      <c r="E139" s="49" t="n"/>
      <c r="F139" s="49" t="n"/>
      <c r="G139" s="49" t="n"/>
      <c r="H139" s="49" t="n"/>
    </row>
    <row r="140">
      <c r="A140" s="49" t="n"/>
      <c r="B140" s="49" t="n"/>
      <c r="C140" s="49" t="n"/>
      <c r="D140" s="49" t="n"/>
      <c r="E140" s="49" t="n"/>
      <c r="F140" s="49" t="n"/>
      <c r="G140" s="49" t="n"/>
      <c r="H140" s="49" t="n"/>
    </row>
    <row r="141">
      <c r="A141" s="49" t="n"/>
      <c r="B141" s="49" t="n"/>
      <c r="C141" s="49" t="n"/>
      <c r="D141" s="49" t="n"/>
      <c r="E141" s="49" t="n"/>
      <c r="F141" s="49" t="n"/>
      <c r="G141" s="49" t="n"/>
      <c r="H141" s="49" t="n"/>
    </row>
    <row r="142">
      <c r="A142" s="49" t="n"/>
      <c r="B142" s="49" t="n"/>
      <c r="C142" s="49" t="n"/>
      <c r="D142" s="49" t="n"/>
      <c r="E142" s="49" t="n"/>
      <c r="F142" s="49" t="n"/>
      <c r="G142" s="49" t="n"/>
      <c r="H142" s="49" t="n"/>
    </row>
    <row r="143">
      <c r="A143" s="49" t="n"/>
      <c r="B143" s="49" t="n"/>
      <c r="C143" s="49" t="n"/>
      <c r="D143" s="49" t="n"/>
      <c r="E143" s="49" t="n"/>
      <c r="F143" s="49" t="n"/>
      <c r="G143" s="49" t="n"/>
      <c r="H143" s="49" t="n"/>
    </row>
    <row r="144">
      <c r="A144" s="49" t="n"/>
      <c r="B144" s="49" t="n"/>
      <c r="C144" s="49" t="n"/>
      <c r="D144" s="49" t="n"/>
      <c r="E144" s="49" t="n"/>
      <c r="F144" s="49" t="n"/>
      <c r="G144" s="49" t="n"/>
      <c r="H144" s="49" t="n"/>
    </row>
    <row r="145">
      <c r="A145" s="49" t="n"/>
      <c r="B145" s="49" t="n"/>
      <c r="C145" s="49" t="n"/>
      <c r="D145" s="49" t="n"/>
      <c r="E145" s="49" t="n"/>
      <c r="F145" s="49" t="n"/>
      <c r="G145" s="49" t="n"/>
      <c r="H145" s="49" t="n"/>
    </row>
    <row r="146">
      <c r="A146" s="49" t="n"/>
      <c r="B146" s="49" t="n"/>
      <c r="C146" s="49" t="n"/>
      <c r="D146" s="49" t="n"/>
      <c r="E146" s="49" t="n"/>
      <c r="F146" s="49" t="n"/>
      <c r="G146" s="49" t="n"/>
      <c r="H146" s="49" t="n"/>
    </row>
    <row r="147">
      <c r="A147" s="49" t="n"/>
      <c r="B147" s="49" t="n"/>
      <c r="C147" s="49" t="n"/>
      <c r="D147" s="49" t="n"/>
      <c r="E147" s="49" t="n"/>
      <c r="F147" s="49" t="n"/>
      <c r="G147" s="49" t="n"/>
      <c r="H147" s="49" t="n"/>
    </row>
    <row r="148">
      <c r="A148" s="49" t="n"/>
      <c r="B148" s="49" t="n"/>
      <c r="C148" s="49" t="n"/>
      <c r="D148" s="49" t="n"/>
      <c r="E148" s="49" t="n"/>
      <c r="F148" s="49" t="n"/>
      <c r="G148" s="49" t="n"/>
      <c r="H148" s="49" t="n"/>
    </row>
    <row r="149">
      <c r="A149" s="49" t="n"/>
      <c r="B149" s="49" t="n"/>
      <c r="C149" s="49" t="n"/>
      <c r="D149" s="49" t="n"/>
      <c r="E149" s="49" t="n"/>
      <c r="F149" s="49" t="n"/>
      <c r="G149" s="49" t="n"/>
      <c r="H149" s="49" t="n"/>
    </row>
    <row r="150">
      <c r="A150" s="49" t="n"/>
      <c r="B150" s="49" t="n"/>
      <c r="C150" s="49" t="n"/>
      <c r="D150" s="49" t="n"/>
      <c r="E150" s="49" t="n"/>
      <c r="F150" s="49" t="n"/>
      <c r="G150" s="49" t="n"/>
      <c r="H150" s="49" t="n"/>
    </row>
    <row r="151">
      <c r="A151" s="49" t="n"/>
      <c r="B151" s="49" t="n"/>
      <c r="C151" s="49" t="n"/>
      <c r="D151" s="49" t="n"/>
      <c r="E151" s="49" t="n"/>
      <c r="F151" s="49" t="n"/>
      <c r="G151" s="49" t="n"/>
      <c r="H151" s="49" t="n"/>
    </row>
    <row r="152">
      <c r="A152" s="49" t="n"/>
      <c r="B152" s="49" t="n"/>
      <c r="C152" s="49" t="n"/>
      <c r="D152" s="49" t="n"/>
      <c r="E152" s="49" t="n"/>
      <c r="F152" s="49" t="n"/>
      <c r="G152" s="49" t="n"/>
      <c r="H152" s="49" t="n"/>
    </row>
    <row r="153">
      <c r="A153" s="49" t="n"/>
      <c r="B153" s="49" t="n"/>
      <c r="C153" s="49" t="n"/>
      <c r="D153" s="49" t="n"/>
      <c r="E153" s="49" t="n"/>
      <c r="F153" s="49" t="n"/>
      <c r="G153" s="49" t="n"/>
      <c r="H153" s="49" t="n"/>
    </row>
    <row r="154">
      <c r="A154" s="49" t="n"/>
      <c r="B154" s="49" t="n"/>
      <c r="C154" s="49" t="n"/>
      <c r="D154" s="49" t="n"/>
      <c r="E154" s="49" t="n"/>
      <c r="F154" s="49" t="n"/>
      <c r="G154" s="49" t="n"/>
      <c r="H154" s="49" t="n"/>
    </row>
    <row r="155">
      <c r="A155" s="49" t="n"/>
      <c r="B155" s="49" t="n"/>
      <c r="C155" s="49" t="n"/>
      <c r="D155" s="49" t="n"/>
      <c r="E155" s="49" t="n"/>
      <c r="F155" s="49" t="n"/>
      <c r="G155" s="49" t="n"/>
      <c r="H155" s="49" t="n"/>
    </row>
    <row r="156">
      <c r="A156" s="49" t="n"/>
      <c r="B156" s="49" t="n"/>
      <c r="C156" s="49" t="n"/>
      <c r="D156" s="49" t="n"/>
      <c r="E156" s="49" t="n"/>
      <c r="F156" s="49" t="n"/>
      <c r="G156" s="49" t="n"/>
      <c r="H156" s="49" t="n"/>
    </row>
    <row r="157">
      <c r="A157" s="49" t="n"/>
      <c r="B157" s="49" t="n"/>
      <c r="C157" s="49" t="n"/>
      <c r="D157" s="49" t="n"/>
      <c r="E157" s="49" t="n"/>
      <c r="F157" s="49" t="n"/>
      <c r="G157" s="49" t="n"/>
      <c r="H157" s="49" t="n"/>
    </row>
    <row r="158">
      <c r="A158" s="49" t="n"/>
      <c r="B158" s="49" t="n"/>
      <c r="C158" s="49" t="n"/>
      <c r="D158" s="49" t="n"/>
      <c r="E158" s="49" t="n"/>
      <c r="F158" s="49" t="n"/>
      <c r="G158" s="49" t="n"/>
      <c r="H158" s="49" t="n"/>
    </row>
    <row r="159">
      <c r="A159" s="49" t="n"/>
      <c r="B159" s="49" t="n"/>
      <c r="C159" s="49" t="n"/>
      <c r="D159" s="49" t="n"/>
      <c r="E159" s="49" t="n"/>
      <c r="F159" s="49" t="n"/>
      <c r="G159" s="49" t="n"/>
      <c r="H159" s="49" t="n"/>
    </row>
    <row r="160">
      <c r="A160" s="49" t="n"/>
      <c r="B160" s="49" t="n"/>
      <c r="C160" s="49" t="n"/>
      <c r="D160" s="49" t="n"/>
      <c r="E160" s="49" t="n"/>
      <c r="F160" s="49" t="n"/>
      <c r="G160" s="49" t="n"/>
      <c r="H160" s="49" t="n"/>
    </row>
    <row r="161">
      <c r="A161" s="49" t="n"/>
      <c r="B161" s="49" t="n"/>
      <c r="C161" s="49" t="n"/>
      <c r="D161" s="49" t="n"/>
      <c r="E161" s="49" t="n"/>
      <c r="F161" s="49" t="n"/>
      <c r="G161" s="49" t="n"/>
      <c r="H161" s="49" t="n"/>
    </row>
    <row r="162">
      <c r="A162" s="49" t="n"/>
      <c r="B162" s="49" t="n"/>
      <c r="C162" s="49" t="n"/>
      <c r="D162" s="49" t="n"/>
      <c r="E162" s="49" t="n"/>
      <c r="F162" s="49" t="n"/>
      <c r="G162" s="49" t="n"/>
      <c r="H162" s="49" t="n"/>
    </row>
    <row r="163">
      <c r="A163" s="49" t="n"/>
      <c r="B163" s="49" t="n"/>
      <c r="C163" s="49" t="n"/>
      <c r="D163" s="49" t="n"/>
      <c r="E163" s="49" t="n"/>
      <c r="F163" s="49" t="n"/>
      <c r="G163" s="49" t="n"/>
      <c r="H163" s="49" t="n"/>
    </row>
    <row r="164">
      <c r="A164" s="49" t="n"/>
      <c r="B164" s="49" t="n"/>
      <c r="C164" s="49" t="n"/>
      <c r="D164" s="49" t="n"/>
      <c r="E164" s="49" t="n"/>
      <c r="F164" s="49" t="n"/>
      <c r="G164" s="49" t="n"/>
      <c r="H164" s="49" t="n"/>
    </row>
    <row r="165">
      <c r="A165" s="49" t="n"/>
      <c r="B165" s="49" t="n"/>
      <c r="C165" s="49" t="n"/>
      <c r="D165" s="49" t="n"/>
      <c r="E165" s="49" t="n"/>
      <c r="F165" s="49" t="n"/>
      <c r="G165" s="49" t="n"/>
      <c r="H165" s="49" t="n"/>
    </row>
    <row r="166">
      <c r="A166" s="49" t="n"/>
      <c r="B166" s="49" t="n"/>
      <c r="C166" s="49" t="n"/>
      <c r="D166" s="49" t="n"/>
      <c r="E166" s="49" t="n"/>
      <c r="F166" s="49" t="n"/>
      <c r="G166" s="49" t="n"/>
      <c r="H166" s="49" t="n"/>
    </row>
    <row r="167">
      <c r="A167" s="49" t="n"/>
      <c r="B167" s="49" t="n"/>
      <c r="C167" s="49" t="n"/>
      <c r="D167" s="49" t="n"/>
      <c r="E167" s="49" t="n"/>
      <c r="F167" s="49" t="n"/>
      <c r="G167" s="49" t="n"/>
      <c r="H167" s="49" t="n"/>
    </row>
    <row r="168">
      <c r="A168" s="49" t="n"/>
      <c r="B168" s="49" t="n"/>
      <c r="C168" s="49" t="n"/>
      <c r="D168" s="49" t="n"/>
      <c r="E168" s="49" t="n"/>
      <c r="F168" s="49" t="n"/>
      <c r="G168" s="49" t="n"/>
      <c r="H168" s="49" t="n"/>
    </row>
    <row r="169">
      <c r="A169" s="49" t="n"/>
      <c r="B169" s="49" t="n"/>
      <c r="C169" s="49" t="n"/>
      <c r="D169" s="49" t="n"/>
      <c r="E169" s="49" t="n"/>
      <c r="F169" s="49" t="n"/>
      <c r="G169" s="49" t="n"/>
      <c r="H169" s="49" t="n"/>
    </row>
    <row r="170">
      <c r="A170" s="49" t="n"/>
      <c r="B170" s="49" t="n"/>
      <c r="C170" s="49" t="n"/>
      <c r="D170" s="49" t="n"/>
      <c r="E170" s="49" t="n"/>
      <c r="F170" s="49" t="n"/>
      <c r="G170" s="49" t="n"/>
      <c r="H170" s="49" t="n"/>
    </row>
    <row r="171">
      <c r="A171" s="49" t="n"/>
      <c r="B171" s="49" t="n"/>
      <c r="C171" s="49" t="n"/>
      <c r="D171" s="49" t="n"/>
      <c r="E171" s="49" t="n"/>
      <c r="F171" s="49" t="n"/>
      <c r="G171" s="49" t="n"/>
      <c r="H171" s="49" t="n"/>
    </row>
    <row r="172">
      <c r="A172" s="49" t="n"/>
      <c r="B172" s="49" t="n"/>
      <c r="C172" s="49" t="n"/>
      <c r="D172" s="49" t="n"/>
      <c r="E172" s="49" t="n"/>
      <c r="F172" s="49" t="n"/>
      <c r="G172" s="49" t="n"/>
      <c r="H172" s="49" t="n"/>
    </row>
    <row r="173">
      <c r="A173" s="49" t="n"/>
      <c r="B173" s="49" t="n"/>
      <c r="C173" s="49" t="n"/>
      <c r="D173" s="49" t="n"/>
      <c r="E173" s="49" t="n"/>
      <c r="F173" s="49" t="n"/>
      <c r="G173" s="49" t="n"/>
      <c r="H173" s="49" t="n"/>
    </row>
    <row r="174">
      <c r="A174" s="49" t="n"/>
      <c r="B174" s="49" t="n"/>
      <c r="C174" s="49" t="n"/>
      <c r="D174" s="49" t="n"/>
      <c r="E174" s="49" t="n"/>
      <c r="F174" s="49" t="n"/>
      <c r="G174" s="49" t="n"/>
      <c r="H174" s="49" t="n"/>
    </row>
    <row r="175">
      <c r="A175" s="49" t="n"/>
      <c r="B175" s="49" t="n"/>
      <c r="C175" s="49" t="n"/>
      <c r="D175" s="49" t="n"/>
      <c r="E175" s="49" t="n"/>
      <c r="F175" s="49" t="n"/>
      <c r="G175" s="49" t="n"/>
      <c r="H175" s="49" t="n"/>
    </row>
    <row r="176">
      <c r="A176" s="49" t="n"/>
      <c r="B176" s="49" t="n"/>
      <c r="C176" s="49" t="n"/>
      <c r="D176" s="49" t="n"/>
      <c r="E176" s="49" t="n"/>
      <c r="F176" s="49" t="n"/>
      <c r="G176" s="49" t="n"/>
      <c r="H176" s="49" t="n"/>
    </row>
    <row r="177">
      <c r="A177" s="49" t="n"/>
      <c r="B177" s="49" t="n"/>
      <c r="C177" s="49" t="n"/>
      <c r="D177" s="49" t="n"/>
      <c r="E177" s="49" t="n"/>
      <c r="F177" s="49" t="n"/>
      <c r="G177" s="49" t="n"/>
      <c r="H177" s="49" t="n"/>
    </row>
    <row r="178">
      <c r="A178" s="49" t="n"/>
      <c r="B178" s="49" t="n"/>
      <c r="C178" s="49" t="n"/>
      <c r="D178" s="49" t="n"/>
      <c r="E178" s="49" t="n"/>
      <c r="F178" s="49" t="n"/>
      <c r="G178" s="49" t="n"/>
      <c r="H178" s="49" t="n"/>
    </row>
    <row r="179">
      <c r="A179" s="49" t="n"/>
      <c r="B179" s="49" t="n"/>
      <c r="C179" s="49" t="n"/>
      <c r="D179" s="49" t="n"/>
      <c r="E179" s="49" t="n"/>
      <c r="F179" s="49" t="n"/>
      <c r="G179" s="49" t="n"/>
      <c r="H179" s="49" t="n"/>
    </row>
    <row r="180">
      <c r="A180" s="49" t="n"/>
      <c r="B180" s="49" t="n"/>
      <c r="C180" s="49" t="n"/>
      <c r="D180" s="49" t="n"/>
      <c r="E180" s="49" t="n"/>
      <c r="F180" s="49" t="n"/>
      <c r="G180" s="49" t="n"/>
      <c r="H180" s="49" t="n"/>
    </row>
    <row r="181">
      <c r="A181" s="49" t="n"/>
      <c r="B181" s="49" t="n"/>
      <c r="C181" s="49" t="n"/>
      <c r="D181" s="49" t="n"/>
      <c r="E181" s="49" t="n"/>
      <c r="F181" s="49" t="n"/>
      <c r="G181" s="49" t="n"/>
      <c r="H181" s="49" t="n"/>
    </row>
    <row r="182">
      <c r="A182" s="49" t="n"/>
      <c r="B182" s="49" t="n"/>
      <c r="C182" s="49" t="n"/>
      <c r="D182" s="49" t="n"/>
      <c r="E182" s="49" t="n"/>
      <c r="F182" s="49" t="n"/>
      <c r="G182" s="49" t="n"/>
      <c r="H182" s="49" t="n"/>
    </row>
    <row r="183">
      <c r="A183" s="49" t="n"/>
      <c r="B183" s="49" t="n"/>
      <c r="C183" s="49" t="n"/>
      <c r="D183" s="49" t="n"/>
      <c r="E183" s="49" t="n"/>
      <c r="F183" s="49" t="n"/>
      <c r="G183" s="49" t="n"/>
      <c r="H183" s="49" t="n"/>
    </row>
    <row r="184">
      <c r="A184" s="49" t="n"/>
      <c r="B184" s="49" t="n"/>
      <c r="C184" s="49" t="n"/>
      <c r="D184" s="49" t="n"/>
      <c r="E184" s="49" t="n"/>
      <c r="F184" s="49" t="n"/>
      <c r="G184" s="49" t="n"/>
      <c r="H184" s="49" t="n"/>
    </row>
    <row r="185">
      <c r="A185" s="49" t="n"/>
      <c r="B185" s="49" t="n"/>
      <c r="C185" s="49" t="n"/>
      <c r="D185" s="49" t="n"/>
      <c r="E185" s="49" t="n"/>
      <c r="F185" s="49" t="n"/>
      <c r="G185" s="49" t="n"/>
      <c r="H185" s="49" t="n"/>
    </row>
    <row r="186">
      <c r="A186" s="49" t="n"/>
      <c r="B186" s="49" t="n"/>
      <c r="C186" s="49" t="n"/>
      <c r="D186" s="49" t="n"/>
      <c r="E186" s="49" t="n"/>
      <c r="F186" s="49" t="n"/>
      <c r="G186" s="49" t="n"/>
      <c r="H186" s="49" t="n"/>
    </row>
    <row r="187">
      <c r="A187" s="49" t="n"/>
      <c r="B187" s="49" t="n"/>
      <c r="C187" s="49" t="n"/>
      <c r="D187" s="49" t="n"/>
      <c r="E187" s="49" t="n"/>
      <c r="F187" s="49" t="n"/>
      <c r="G187" s="49" t="n"/>
      <c r="H187" s="49" t="n"/>
    </row>
    <row r="188">
      <c r="A188" s="49" t="n"/>
      <c r="B188" s="49" t="n"/>
      <c r="C188" s="49" t="n"/>
      <c r="D188" s="49" t="n"/>
      <c r="E188" s="49" t="n"/>
      <c r="F188" s="49" t="n"/>
      <c r="G188" s="49" t="n"/>
      <c r="H188" s="49" t="n"/>
    </row>
    <row r="189">
      <c r="A189" s="49" t="n"/>
      <c r="B189" s="49" t="n"/>
      <c r="C189" s="49" t="n"/>
      <c r="D189" s="49" t="n"/>
      <c r="E189" s="49" t="n"/>
      <c r="F189" s="49" t="n"/>
      <c r="G189" s="49" t="n"/>
      <c r="H189" s="49" t="n"/>
    </row>
    <row r="190">
      <c r="A190" s="49" t="n"/>
      <c r="B190" s="49" t="n"/>
      <c r="C190" s="49" t="n"/>
      <c r="D190" s="49" t="n"/>
      <c r="E190" s="49" t="n"/>
      <c r="F190" s="49" t="n"/>
      <c r="G190" s="49" t="n"/>
      <c r="H190" s="49" t="n"/>
    </row>
    <row r="191">
      <c r="A191" s="49" t="n"/>
      <c r="B191" s="49" t="n"/>
      <c r="C191" s="49" t="n"/>
      <c r="D191" s="49" t="n"/>
      <c r="E191" s="49" t="n"/>
      <c r="F191" s="49" t="n"/>
      <c r="G191" s="49" t="n"/>
      <c r="H191" s="49" t="n"/>
    </row>
    <row r="192">
      <c r="A192" s="49" t="n"/>
      <c r="B192" s="49" t="n"/>
      <c r="C192" s="49" t="n"/>
      <c r="D192" s="49" t="n"/>
      <c r="E192" s="49" t="n"/>
      <c r="F192" s="49" t="n"/>
      <c r="G192" s="49" t="n"/>
      <c r="H192" s="49" t="n"/>
    </row>
    <row r="193">
      <c r="A193" s="49" t="n"/>
      <c r="B193" s="49" t="n"/>
      <c r="C193" s="49" t="n"/>
      <c r="D193" s="49" t="n"/>
      <c r="E193" s="49" t="n"/>
      <c r="F193" s="49" t="n"/>
      <c r="G193" s="49" t="n"/>
      <c r="H193" s="49" t="n"/>
    </row>
    <row r="194">
      <c r="A194" s="49" t="n"/>
      <c r="B194" s="49" t="n"/>
      <c r="C194" s="49" t="n"/>
      <c r="D194" s="49" t="n"/>
      <c r="E194" s="49" t="n"/>
      <c r="F194" s="49" t="n"/>
      <c r="G194" s="49" t="n"/>
      <c r="H194" s="49" t="n"/>
    </row>
    <row r="195">
      <c r="A195" s="49" t="n"/>
      <c r="B195" s="49" t="n"/>
      <c r="C195" s="49" t="n"/>
      <c r="D195" s="49" t="n"/>
      <c r="E195" s="49" t="n"/>
      <c r="F195" s="49" t="n"/>
      <c r="G195" s="49" t="n"/>
      <c r="H195" s="49" t="n"/>
    </row>
    <row r="196">
      <c r="A196" s="49" t="n"/>
      <c r="B196" s="49" t="n"/>
      <c r="C196" s="49" t="n"/>
      <c r="D196" s="49" t="n"/>
      <c r="E196" s="49" t="n"/>
      <c r="F196" s="49" t="n"/>
      <c r="G196" s="49" t="n"/>
      <c r="H196" s="49" t="n"/>
    </row>
    <row r="197">
      <c r="A197" s="49" t="n"/>
      <c r="B197" s="49" t="n"/>
      <c r="C197" s="49" t="n"/>
      <c r="D197" s="49" t="n"/>
      <c r="E197" s="49" t="n"/>
      <c r="F197" s="49" t="n"/>
      <c r="G197" s="49" t="n"/>
      <c r="H197" s="49" t="n"/>
    </row>
    <row r="198">
      <c r="A198" s="49" t="n"/>
      <c r="B198" s="49" t="n"/>
      <c r="C198" s="49" t="n"/>
      <c r="D198" s="49" t="n"/>
      <c r="E198" s="49" t="n"/>
      <c r="F198" s="49" t="n"/>
      <c r="G198" s="49" t="n"/>
      <c r="H198" s="49" t="n"/>
    </row>
    <row r="199">
      <c r="A199" s="49" t="n"/>
      <c r="B199" s="49" t="n"/>
      <c r="C199" s="49" t="n"/>
      <c r="D199" s="49" t="n"/>
      <c r="E199" s="49" t="n"/>
      <c r="F199" s="49" t="n"/>
      <c r="G199" s="49" t="n"/>
      <c r="H199" s="49" t="n"/>
    </row>
    <row r="200">
      <c r="A200" s="49" t="n"/>
      <c r="B200" s="49" t="n"/>
      <c r="C200" s="49" t="n"/>
      <c r="D200" s="49" t="n"/>
      <c r="E200" s="49" t="n"/>
      <c r="F200" s="49" t="n"/>
      <c r="G200" s="49" t="n"/>
      <c r="H200" s="49" t="n"/>
    </row>
    <row r="201">
      <c r="A201" s="49" t="n"/>
      <c r="B201" s="49" t="n"/>
      <c r="C201" s="49" t="n"/>
      <c r="D201" s="49" t="n"/>
      <c r="E201" s="49" t="n"/>
      <c r="F201" s="49" t="n"/>
      <c r="G201" s="49" t="n"/>
      <c r="H201" s="49" t="n"/>
    </row>
    <row r="202">
      <c r="A202" s="49" t="n"/>
      <c r="B202" s="49" t="n"/>
      <c r="C202" s="49" t="n"/>
      <c r="D202" s="49" t="n"/>
      <c r="E202" s="49" t="n"/>
      <c r="F202" s="49" t="n"/>
      <c r="G202" s="49" t="n"/>
      <c r="H202" s="49" t="n"/>
    </row>
    <row r="204">
      <c r="A204" s="2" t="inlineStr">
        <is>
          <t>Manual audit log only; Excel formulas do not automatically capture edit history. Use controlled storage/version history for stronger auditability.</t>
        </is>
      </c>
    </row>
  </sheetData>
  <mergeCells count="2">
    <mergeCell ref="A204:H204"/>
    <mergeCell ref="A1:H1"/>
  </mergeCells>
  <pageMargins left="0.3" right="0.3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0017365D"/>
    <outlinePr summaryBelow="1" summaryRight="1"/>
    <pageSetUpPr fitToPage="1"/>
  </sheetPr>
  <dimension ref="A1:C11"/>
  <sheetViews>
    <sheetView showGridLines="0" zoomScale="9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80" customWidth="1" min="3" max="3"/>
  </cols>
  <sheetData>
    <row r="1" ht="32" customHeight="1">
      <c r="A1" s="33" t="inlineStr">
        <is>
          <t>AVERRA — PAYROLL SETTINGS</t>
        </is>
      </c>
      <c r="B1" s="33" t="inlineStr">
        <is>
          <t>Value</t>
        </is>
      </c>
      <c r="C1" s="33" t="inlineStr">
        <is>
          <t>Notes</t>
        </is>
      </c>
    </row>
    <row r="2">
      <c r="A2" s="48" t="inlineStr">
        <is>
          <t>Company Name</t>
        </is>
      </c>
      <c r="B2" s="52" t="inlineStr">
        <is>
          <t>AVERRA STAFFING SOLUTIONS LTD</t>
        </is>
      </c>
      <c r="C2" s="21" t="inlineStr">
        <is>
          <t>Edit if company name changes</t>
        </is>
      </c>
    </row>
    <row r="3">
      <c r="A3" s="48" t="inlineStr">
        <is>
          <t>Default Currency</t>
        </is>
      </c>
      <c r="B3" s="52" t="inlineStr">
        <is>
          <t>GBP</t>
        </is>
      </c>
      <c r="C3" s="21" t="inlineStr">
        <is>
          <t>Currency for UK payroll register</t>
        </is>
      </c>
    </row>
    <row r="4">
      <c r="A4" s="48" t="inlineStr">
        <is>
          <t>Payroll Year</t>
        </is>
      </c>
      <c r="B4" s="52" t="n">
        <v>2026</v>
      </c>
      <c r="C4" s="21" t="inlineStr">
        <is>
          <t>Dashboard year can be changed separately</t>
        </is>
      </c>
    </row>
    <row r="5">
      <c r="A5" s="48" t="inlineStr">
        <is>
          <t>Standard Hours per Week</t>
        </is>
      </c>
      <c r="B5" s="52" t="n">
        <v>37.5</v>
      </c>
      <c r="C5" s="21" t="inlineStr">
        <is>
          <t>Reference only; check employment contracts</t>
        </is>
      </c>
    </row>
    <row r="6">
      <c r="A6" s="48" t="inlineStr">
        <is>
          <t>Default Overtime Multiplier</t>
        </is>
      </c>
      <c r="B6" s="52" t="n">
        <v>1.5</v>
      </c>
      <c r="C6" s="21" t="inlineStr">
        <is>
          <t>Timesheets uses 1.5×; change formulas if policy differs</t>
        </is>
      </c>
    </row>
    <row r="7">
      <c r="A7" s="48" t="inlineStr">
        <is>
          <t>PAYE / NI Source</t>
        </is>
      </c>
      <c r="B7" s="52" t="inlineStr">
        <is>
          <t>Verified payroll software</t>
        </is>
      </c>
      <c r="C7" s="21" t="inlineStr">
        <is>
          <t>Do not use this workbook as a statutory tax calculator</t>
        </is>
      </c>
    </row>
    <row r="8">
      <c r="A8" s="48" t="inlineStr">
        <is>
          <t>Pension Basis</t>
        </is>
      </c>
      <c r="B8" s="52" t="inlineStr">
        <is>
          <t>Simple percentage of gross pay</t>
        </is>
      </c>
      <c r="C8" s="21" t="inlineStr">
        <is>
          <t>Confirm scheme qualifying earnings, thresholds and tax relief</t>
        </is>
      </c>
    </row>
    <row r="9">
      <c r="A9" s="48" t="inlineStr">
        <is>
          <t>UK Tax Year Start</t>
        </is>
      </c>
      <c r="B9" s="52" t="inlineStr">
        <is>
          <t>06-Apr</t>
        </is>
      </c>
      <c r="C9" s="21" t="inlineStr">
        <is>
          <t>UK tax year generally runs 6 April to 5 April</t>
        </is>
      </c>
    </row>
    <row r="10">
      <c r="A10" s="48" t="inlineStr">
        <is>
          <t>Data Protection</t>
        </is>
      </c>
      <c r="B10" s="52" t="inlineStr">
        <is>
          <t>Restricted access</t>
        </is>
      </c>
      <c r="C10" s="21" t="inlineStr">
        <is>
          <t>Store only necessary data and protect workbook</t>
        </is>
      </c>
    </row>
    <row r="11">
      <c r="A11" s="48" t="inlineStr">
        <is>
          <t>Workbook Scope</t>
        </is>
      </c>
      <c r="B11" s="52" t="inlineStr">
        <is>
          <t>Payroll tracking and arithmetic</t>
        </is>
      </c>
      <c r="C11" s="21" t="inlineStr">
        <is>
          <t>Not HMRC RTI submission software or a substitute for compliant payroll</t>
        </is>
      </c>
    </row>
  </sheetData>
  <pageMargins left="0.3" right="0.3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2026-10-02T23:34:46Z</dcterms:created>
  <dcterms:modified xmlns:dcterms="http://purl.org/dc/terms/" xmlns:xsi="http://www.w3.org/2001/XMLSchema-instance" xsi:type="dcterms:W3CDTF">2026-10-04T10:41:03Z</dcterms:modified>
</cp:coreProperties>
</file>